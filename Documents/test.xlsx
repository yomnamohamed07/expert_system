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mahmo\OneDrive\Documents\"/>
    </mc:Choice>
  </mc:AlternateContent>
  <xr:revisionPtr revIDLastSave="0" documentId="8_{ABC81403-40B0-4468-B816-BD7A440D02A7}" xr6:coauthVersionLast="47" xr6:coauthVersionMax="47" xr10:uidLastSave="{00000000-0000-0000-0000-000000000000}"/>
  <bookViews>
    <workbookView xWindow="5124" yWindow="3360" windowWidth="17280" windowHeight="8880" xr2:uid="{48BEC4C1-AD70-4330-99A0-D64E6FEE8A28}"/>
  </bookViews>
  <sheets>
    <sheet name="Isolated" sheetId="2" r:id="rId1"/>
    <sheet name="AI" sheetId="1" state="hidden" r:id="rId2"/>
  </sheets>
  <definedNames>
    <definedName name="_xlnm.Print_Area" localSheetId="0">Isolated!$A$1:$H$43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2" l="1"/>
  <c r="H16" i="2" l="1"/>
  <c r="F43" i="2"/>
  <c r="D43" i="2"/>
  <c r="H41" i="2"/>
  <c r="E41" i="2"/>
  <c r="C41" i="2"/>
  <c r="F35" i="2"/>
  <c r="A35" i="2"/>
  <c r="D32" i="2"/>
  <c r="A29" i="2"/>
  <c r="A26" i="2"/>
  <c r="E23" i="2"/>
  <c r="G20" i="2"/>
  <c r="C20" i="2"/>
  <c r="E16" i="2"/>
  <c r="B16" i="2"/>
  <c r="C12" i="2"/>
  <c r="H43" i="2"/>
  <c r="E43" i="2"/>
  <c r="C43" i="2"/>
  <c r="F41" i="2"/>
  <c r="D41" i="2"/>
  <c r="C38" i="2"/>
  <c r="D35" i="2"/>
  <c r="F32" i="2"/>
  <c r="A32" i="2"/>
  <c r="C26" i="2"/>
  <c r="G23" i="2"/>
  <c r="C23" i="2"/>
  <c r="E20" i="2"/>
  <c r="F16" i="2"/>
  <c r="D16" i="2"/>
  <c r="C13" i="2"/>
  <c r="C11" i="2"/>
  <c r="C35" i="2" l="1"/>
  <c r="C3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MOHAMAD OBADA</author>
  </authors>
  <commentList>
    <comment ref="C10" authorId="0" shapeId="0" xr:uid="{8EC6276D-382B-4512-9647-3B3574BF1D3E}">
      <text>
        <r>
          <rPr>
            <b/>
            <sz val="9"/>
            <color indexed="81"/>
            <rFont val="Tahoma"/>
            <family val="2"/>
          </rPr>
          <t>MOHAMAD OBADA:</t>
        </r>
        <r>
          <rPr>
            <sz val="9"/>
            <color indexed="81"/>
            <rFont val="Tahoma"/>
            <family val="2"/>
          </rPr>
          <t xml:space="preserve">
Choose ID number</t>
        </r>
      </text>
    </comment>
  </commentList>
</comments>
</file>

<file path=xl/sharedStrings.xml><?xml version="1.0" encoding="utf-8"?>
<sst xmlns="http://schemas.openxmlformats.org/spreadsheetml/2006/main" count="76" uniqueCount="63">
  <si>
    <t>/m</t>
  </si>
  <si>
    <t>total no.</t>
  </si>
  <si>
    <t>f</t>
  </si>
  <si>
    <t>no.</t>
  </si>
  <si>
    <t>Short Direction :</t>
  </si>
  <si>
    <t>Long Direction :</t>
  </si>
  <si>
    <t>Calculation of Rft. :</t>
  </si>
  <si>
    <t>Notes</t>
  </si>
  <si>
    <t>Dims. of R.C :</t>
  </si>
  <si>
    <t>Dims. of P.C :</t>
  </si>
  <si>
    <t>F1</t>
  </si>
  <si>
    <t>foot</t>
  </si>
  <si>
    <t>Extension</t>
  </si>
  <si>
    <t>Column dim.</t>
  </si>
  <si>
    <t>Column working load</t>
  </si>
  <si>
    <r>
      <t>Bearing capacity q</t>
    </r>
    <r>
      <rPr>
        <b/>
        <vertAlign val="subscript"/>
        <sz val="11"/>
        <rFont val="Arial"/>
        <family val="2"/>
        <charset val="178"/>
      </rPr>
      <t>all</t>
    </r>
    <r>
      <rPr>
        <b/>
        <sz val="11"/>
        <rFont val="Arial"/>
        <family val="2"/>
        <charset val="178"/>
      </rPr>
      <t xml:space="preserve"> =</t>
    </r>
  </si>
  <si>
    <r>
      <t>Steel                     f</t>
    </r>
    <r>
      <rPr>
        <b/>
        <vertAlign val="subscript"/>
        <sz val="11"/>
        <rFont val="Arial"/>
        <family val="2"/>
        <charset val="178"/>
      </rPr>
      <t xml:space="preserve">y   </t>
    </r>
    <r>
      <rPr>
        <b/>
        <sz val="11"/>
        <rFont val="Arial"/>
        <family val="2"/>
        <charset val="178"/>
      </rPr>
      <t>=</t>
    </r>
  </si>
  <si>
    <r>
      <t>Concrete              f</t>
    </r>
    <r>
      <rPr>
        <b/>
        <vertAlign val="subscript"/>
        <sz val="11"/>
        <rFont val="Arial"/>
        <family val="2"/>
        <charset val="178"/>
      </rPr>
      <t xml:space="preserve">cu </t>
    </r>
    <r>
      <rPr>
        <b/>
        <sz val="11"/>
        <rFont val="Arial"/>
        <family val="2"/>
        <charset val="178"/>
      </rPr>
      <t>=</t>
    </r>
  </si>
  <si>
    <t xml:space="preserve">L </t>
  </si>
  <si>
    <t xml:space="preserve">t </t>
  </si>
  <si>
    <t xml:space="preserve">B </t>
  </si>
  <si>
    <t>B</t>
  </si>
  <si>
    <t>Actual soil stress</t>
  </si>
  <si>
    <t xml:space="preserve">Stress above P.C </t>
  </si>
  <si>
    <t xml:space="preserve">Shear stress </t>
  </si>
  <si>
    <t xml:space="preserve">Punching stress </t>
  </si>
  <si>
    <r>
      <t>M</t>
    </r>
    <r>
      <rPr>
        <b/>
        <vertAlign val="subscript"/>
        <sz val="10"/>
        <color theme="1"/>
        <rFont val="Arial"/>
        <family val="2"/>
      </rPr>
      <t>u</t>
    </r>
  </si>
  <si>
    <t xml:space="preserve">As </t>
  </si>
  <si>
    <t>As</t>
  </si>
  <si>
    <r>
      <t>M</t>
    </r>
    <r>
      <rPr>
        <b/>
        <vertAlign val="subscript"/>
        <sz val="10"/>
        <color theme="1"/>
        <rFont val="Arial"/>
        <family val="2"/>
      </rPr>
      <t>u</t>
    </r>
    <r>
      <rPr>
        <b/>
        <sz val="10"/>
        <color theme="1"/>
        <rFont val="Arial"/>
        <family val="2"/>
        <charset val="178"/>
      </rPr>
      <t xml:space="preserve"> </t>
    </r>
  </si>
  <si>
    <t>Pile ID</t>
  </si>
  <si>
    <r>
      <t>N</t>
    </r>
    <r>
      <rPr>
        <b/>
        <vertAlign val="subscript"/>
        <sz val="10"/>
        <rFont val="Arial"/>
        <family val="2"/>
        <charset val="178"/>
      </rPr>
      <t>w</t>
    </r>
    <r>
      <rPr>
        <b/>
        <sz val="10"/>
        <rFont val="Arial"/>
        <family val="2"/>
        <charset val="178"/>
      </rPr>
      <t xml:space="preserve"> </t>
    </r>
  </si>
  <si>
    <t>b</t>
  </si>
  <si>
    <t>t</t>
  </si>
  <si>
    <t xml:space="preserve">of P.C </t>
  </si>
  <si>
    <r>
      <t>q</t>
    </r>
    <r>
      <rPr>
        <b/>
        <vertAlign val="subscript"/>
        <sz val="10"/>
        <color theme="1"/>
        <rFont val="Arial"/>
        <family val="2"/>
      </rPr>
      <t>cu</t>
    </r>
    <r>
      <rPr>
        <b/>
        <i/>
        <sz val="10"/>
        <color theme="1"/>
        <rFont val="Arial"/>
        <family val="2"/>
      </rPr>
      <t/>
    </r>
  </si>
  <si>
    <r>
      <t>q</t>
    </r>
    <r>
      <rPr>
        <b/>
        <vertAlign val="subscript"/>
        <sz val="10"/>
        <color theme="1"/>
        <rFont val="Arial"/>
        <family val="2"/>
      </rPr>
      <t>cup</t>
    </r>
    <r>
      <rPr>
        <b/>
        <sz val="10"/>
        <color theme="1"/>
        <rFont val="Arial"/>
        <family val="2"/>
      </rPr>
      <t xml:space="preserve"> </t>
    </r>
  </si>
  <si>
    <r>
      <t>As</t>
    </r>
    <r>
      <rPr>
        <b/>
        <vertAlign val="subscript"/>
        <sz val="10"/>
        <color theme="1"/>
        <rFont val="Arial"/>
        <family val="2"/>
      </rPr>
      <t>min</t>
    </r>
  </si>
  <si>
    <t>Design Of Isolated Footing:</t>
  </si>
  <si>
    <t>Project Informations:</t>
  </si>
  <si>
    <t>Inputs</t>
  </si>
  <si>
    <t>Output</t>
  </si>
  <si>
    <t>25 Mpa</t>
  </si>
  <si>
    <t>360 Mpa</t>
  </si>
  <si>
    <t>150 Kpa</t>
  </si>
  <si>
    <t>376 kN</t>
  </si>
  <si>
    <t>300 mm</t>
  </si>
  <si>
    <t>400 mm</t>
  </si>
  <si>
    <t>1500 mm</t>
  </si>
  <si>
    <t>1600 mm</t>
  </si>
  <si>
    <t>900 mm</t>
  </si>
  <si>
    <t>1000 mm</t>
  </si>
  <si>
    <t>600 mm</t>
  </si>
  <si>
    <t>140.275 kPa</t>
  </si>
  <si>
    <t xml:space="preserve">safe </t>
  </si>
  <si>
    <t>381.66666666667 kPa</t>
  </si>
  <si>
    <t>0.026 N/mm²</t>
  </si>
  <si>
    <t>0.65319726474218 N/mm²</t>
  </si>
  <si>
    <t>0.038 N/mm²</t>
  </si>
  <si>
    <t>1.6125807473323 N/mm²</t>
  </si>
  <si>
    <t>795 mm²</t>
  </si>
  <si>
    <t xml:space="preserve"> </t>
  </si>
  <si>
    <t>Working 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</si>
</sst>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charset val="178"/>
      <scheme val="minor"/>
    </font>
    <font>
      <sz val="10"/>
      <name val="Arial"/>
      <family val="2"/>
    </font>
    <font>
      <sz val="10"/>
      <name val="Arial"/>
      <family val="2"/>
    </font>
    <font>
      <b/>
      <sz val="10"/>
      <name val="Arial"/>
      <family val="2"/>
      <charset val="178"/>
    </font>
    <font>
      <b/>
      <vertAlign val="subscript"/>
      <sz val="10"/>
      <name val="Arial"/>
      <family val="2"/>
      <charset val="178"/>
    </font>
    <font>
      <b/>
      <sz val="11"/>
      <name val="Arial"/>
      <family val="2"/>
      <charset val="178"/>
    </font>
    <font>
      <b/>
      <vertAlign val="subscript"/>
      <sz val="11"/>
      <name val="Arial"/>
      <family val="2"/>
      <charset val="178"/>
    </font>
    <font>
      <b/>
      <i/>
      <u/>
      <sz val="14"/>
      <name val="Times New Roman"/>
      <family val="1"/>
      <charset val="178"/>
    </font>
    <font>
      <b/>
      <i/>
      <u/>
      <sz val="18"/>
      <name val="Times New Roman"/>
      <family val="1"/>
      <charset val="178"/>
    </font>
    <font>
      <b/>
      <sz val="9"/>
      <color indexed="81"/>
      <name val="Tahoma"/>
      <family val="2"/>
    </font>
    <font>
      <sz val="9"/>
      <color indexed="81"/>
      <name val="Tahoma"/>
      <family val="2"/>
    </font>
    <font>
      <b/>
      <sz val="10"/>
      <color theme="1"/>
      <name val="Arial"/>
      <family val="2"/>
      <charset val="178"/>
    </font>
    <font>
      <b/>
      <i/>
      <sz val="10"/>
      <color theme="1"/>
      <name val="Arial"/>
      <family val="2"/>
    </font>
    <font>
      <b/>
      <vertAlign val="subscript"/>
      <sz val="10"/>
      <color theme="1"/>
      <name val="Arial"/>
      <family val="2"/>
    </font>
    <font>
      <b/>
      <sz val="10"/>
      <color theme="1"/>
      <name val="Symbol"/>
      <family val="1"/>
      <charset val="178"/>
    </font>
    <font>
      <b/>
      <sz val="11"/>
      <name val="Arial"/>
      <family val="2"/>
    </font>
    <font>
      <b/>
      <sz val="10"/>
      <color theme="1"/>
      <name val="Arial"/>
      <family val="2"/>
    </font>
    <font>
      <b/>
      <u/>
      <sz val="14"/>
      <name val="Times New Roman"/>
      <family val="1"/>
    </font>
    <font>
      <b/>
      <u/>
      <sz val="16"/>
      <color theme="1"/>
      <name val="Calibri Light"/>
      <family val="1"/>
      <scheme val="major"/>
    </font>
    <font>
      <b/>
      <sz val="16"/>
      <name val="Arial"/>
      <family val="2"/>
    </font>
    <font>
      <b/>
      <sz val="14"/>
      <color theme="0"/>
      <name val="Arial"/>
      <family val="2"/>
    </font>
  </fonts>
  <fills count="1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00"/>
        <bgColor indexed="64"/>
      </patternFill>
    </fill>
    <fill>
      <patternFill patternType="solid">
        <fgColor theme="7" tint="0.59999389629810485"/>
        <bgColor indexed="64"/>
      </patternFill>
    </fill>
    <fill>
      <patternFill patternType="solid">
        <fgColor rgb="FFC00000"/>
        <bgColor indexed="64"/>
      </patternFill>
    </fill>
    <fill>
      <patternFill patternType="solid">
        <fgColor rgb="FF00B0F0"/>
        <bgColor indexed="64"/>
      </patternFill>
    </fill>
    <fill>
      <patternFill patternType="solid">
        <fgColor theme="3" tint="0.79998168889431442"/>
        <bgColor indexed="64"/>
      </patternFill>
    </fill>
    <fill>
      <patternFill patternType="solid">
        <fgColor theme="4" tint="0.79998168889431442"/>
        <bgColor indexed="64"/>
      </patternFill>
    </fill>
  </fills>
  <borders count="39">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thin">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thin">
        <color indexed="64"/>
      </top>
      <bottom style="thin">
        <color indexed="64"/>
      </bottom>
      <diagonal/>
    </border>
    <border>
      <left/>
      <right/>
      <top style="thin">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medium">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104">
    <xf numFmtId="0" fontId="0" fillId="0" borderId="0" xfId="0"/>
    <xf numFmtId="0" fontId="1" fillId="2" borderId="0" xfId="1" applyFill="1" applyAlignment="1">
      <alignment vertical="center"/>
    </xf>
    <xf numFmtId="0" fontId="1" fillId="2" borderId="0" xfId="1" applyFill="1" applyAlignment="1">
      <alignment horizontal="center" vertical="center"/>
    </xf>
    <xf numFmtId="0" fontId="8" fillId="2" borderId="0" xfId="1" applyFont="1" applyFill="1" applyAlignment="1">
      <alignment vertical="center"/>
    </xf>
    <xf numFmtId="0" fontId="2" fillId="2" borderId="0" xfId="1" applyFont="1" applyFill="1" applyAlignment="1">
      <alignment vertical="center"/>
    </xf>
    <xf numFmtId="0" fontId="3" fillId="3" borderId="2" xfId="1" applyFont="1" applyFill="1" applyBorder="1" applyAlignment="1">
      <alignment horizontal="center" vertical="center"/>
    </xf>
    <xf numFmtId="0" fontId="1" fillId="2" borderId="2" xfId="1" applyFill="1" applyBorder="1" applyAlignment="1" applyProtection="1">
      <alignment horizontal="center" vertical="center"/>
      <protection locked="0"/>
    </xf>
    <xf numFmtId="0" fontId="1" fillId="2" borderId="2" xfId="1" applyFill="1" applyBorder="1" applyAlignment="1" applyProtection="1">
      <alignment horizontal="left" vertical="center"/>
      <protection locked="0"/>
    </xf>
    <xf numFmtId="0" fontId="3" fillId="5" borderId="2" xfId="1" applyFont="1" applyFill="1" applyBorder="1" applyAlignment="1" applyProtection="1">
      <alignment horizontal="center" vertical="center"/>
      <protection locked="0"/>
    </xf>
    <xf numFmtId="0" fontId="11" fillId="3" borderId="2" xfId="1" applyFont="1" applyFill="1" applyBorder="1" applyAlignment="1">
      <alignment horizontal="center" vertical="center"/>
    </xf>
    <xf numFmtId="0" fontId="11" fillId="3" borderId="2" xfId="1" applyFont="1" applyFill="1" applyBorder="1" applyAlignment="1" applyProtection="1">
      <alignment horizontal="center" vertical="center"/>
      <protection locked="0"/>
    </xf>
    <xf numFmtId="1" fontId="11" fillId="3" borderId="2" xfId="1" applyNumberFormat="1" applyFont="1" applyFill="1" applyBorder="1" applyAlignment="1">
      <alignment horizontal="center" vertical="center"/>
    </xf>
    <xf numFmtId="0" fontId="14" fillId="3" borderId="2" xfId="1" applyFont="1" applyFill="1" applyBorder="1" applyAlignment="1">
      <alignment horizontal="center" vertical="center"/>
    </xf>
    <xf numFmtId="0" fontId="11" fillId="3" borderId="2" xfId="1" applyFont="1" applyFill="1" applyBorder="1" applyAlignment="1">
      <alignment horizontal="left" vertical="center"/>
    </xf>
    <xf numFmtId="0" fontId="11" fillId="9" borderId="32" xfId="1" applyFont="1" applyFill="1" applyBorder="1" applyAlignment="1">
      <alignment horizontal="center" vertical="center"/>
    </xf>
    <xf numFmtId="0" fontId="11" fillId="3" borderId="32" xfId="1" applyFont="1" applyFill="1" applyBorder="1" applyAlignment="1">
      <alignment horizontal="center" vertical="center"/>
    </xf>
    <xf numFmtId="0" fontId="11" fillId="9" borderId="33" xfId="1" applyFont="1" applyFill="1" applyBorder="1" applyAlignment="1">
      <alignment horizontal="center" vertical="center"/>
    </xf>
    <xf numFmtId="0" fontId="11" fillId="3" borderId="34" xfId="1" applyFont="1" applyFill="1" applyBorder="1" applyAlignment="1">
      <alignment horizontal="center" vertical="center"/>
    </xf>
    <xf numFmtId="1" fontId="11" fillId="3" borderId="35" xfId="1" applyNumberFormat="1" applyFont="1" applyFill="1" applyBorder="1" applyAlignment="1">
      <alignment horizontal="center" vertical="center"/>
    </xf>
    <xf numFmtId="0" fontId="11" fillId="3" borderId="35" xfId="1" applyFont="1" applyFill="1" applyBorder="1" applyAlignment="1">
      <alignment horizontal="center" vertical="center"/>
    </xf>
    <xf numFmtId="0" fontId="11" fillId="3" borderId="35" xfId="1" applyFont="1" applyFill="1" applyBorder="1" applyAlignment="1" applyProtection="1">
      <alignment horizontal="center" vertical="center"/>
      <protection locked="0"/>
    </xf>
    <xf numFmtId="0" fontId="11" fillId="3" borderId="35" xfId="1" applyFont="1" applyFill="1" applyBorder="1" applyAlignment="1">
      <alignment horizontal="left" vertical="center"/>
    </xf>
    <xf numFmtId="0" fontId="11" fillId="3" borderId="36" xfId="1" applyFont="1" applyFill="1" applyBorder="1" applyAlignment="1">
      <alignment horizontal="center" vertical="center"/>
    </xf>
    <xf numFmtId="0" fontId="8" fillId="2" borderId="0" xfId="1" applyFont="1" applyFill="1" applyAlignment="1">
      <alignment horizontal="center" vertical="center"/>
    </xf>
    <xf numFmtId="0" fontId="17" fillId="3" borderId="10" xfId="1" applyFont="1" applyFill="1" applyBorder="1" applyAlignment="1">
      <alignment horizontal="left" vertical="top"/>
    </xf>
    <xf numFmtId="0" fontId="7" fillId="3" borderId="1" xfId="1" applyFont="1" applyFill="1" applyBorder="1" applyAlignment="1">
      <alignment horizontal="left" vertical="top"/>
    </xf>
    <xf numFmtId="0" fontId="7" fillId="3" borderId="11" xfId="1" applyFont="1" applyFill="1" applyBorder="1" applyAlignment="1">
      <alignment horizontal="left" vertical="top"/>
    </xf>
    <xf numFmtId="0" fontId="18" fillId="3" borderId="10" xfId="1" applyFont="1" applyFill="1" applyBorder="1" applyAlignment="1" applyProtection="1">
      <alignment horizontal="left" vertical="top"/>
      <protection locked="0"/>
    </xf>
    <xf numFmtId="0" fontId="18" fillId="3" borderId="1" xfId="1" applyFont="1" applyFill="1" applyBorder="1" applyAlignment="1" applyProtection="1">
      <alignment horizontal="left" vertical="top"/>
      <protection locked="0"/>
    </xf>
    <xf numFmtId="0" fontId="18" fillId="3" borderId="11" xfId="1" applyFont="1" applyFill="1" applyBorder="1" applyAlignment="1" applyProtection="1">
      <alignment horizontal="left" vertical="top"/>
      <protection locked="0"/>
    </xf>
    <xf numFmtId="0" fontId="19" fillId="4" borderId="2" xfId="1" applyFont="1" applyFill="1" applyBorder="1" applyAlignment="1">
      <alignment horizontal="center" vertical="center"/>
    </xf>
    <xf numFmtId="2" fontId="11" fillId="3" borderId="2" xfId="1" applyNumberFormat="1" applyFont="1" applyFill="1" applyBorder="1" applyAlignment="1">
      <alignment horizontal="center" vertical="center"/>
    </xf>
    <xf numFmtId="2" fontId="11" fillId="3" borderId="35" xfId="1" applyNumberFormat="1" applyFont="1" applyFill="1" applyBorder="1" applyAlignment="1">
      <alignment horizontal="center" vertical="center"/>
    </xf>
    <xf numFmtId="0" fontId="3" fillId="5" borderId="2" xfId="1" applyFont="1" applyFill="1" applyBorder="1" applyAlignment="1">
      <alignment horizontal="center" vertical="center"/>
    </xf>
    <xf numFmtId="0" fontId="1" fillId="5" borderId="2" xfId="1" applyFill="1" applyBorder="1" applyAlignment="1">
      <alignment vertical="center"/>
    </xf>
    <xf numFmtId="3" fontId="11" fillId="3" borderId="20" xfId="1" applyNumberFormat="1" applyFont="1" applyFill="1" applyBorder="1" applyAlignment="1" applyProtection="1">
      <alignment horizontal="center" vertical="center"/>
      <protection locked="0"/>
    </xf>
    <xf numFmtId="3" fontId="11" fillId="3" borderId="19" xfId="1" applyNumberFormat="1" applyFont="1" applyFill="1" applyBorder="1" applyAlignment="1" applyProtection="1">
      <alignment horizontal="center" vertical="center"/>
      <protection locked="0"/>
    </xf>
    <xf numFmtId="0" fontId="11" fillId="3" borderId="20" xfId="1" applyFont="1" applyFill="1" applyBorder="1" applyAlignment="1">
      <alignment horizontal="center" vertical="center"/>
    </xf>
    <xf numFmtId="0" fontId="11" fillId="3" borderId="23" xfId="1" applyFont="1" applyFill="1" applyBorder="1" applyAlignment="1">
      <alignment horizontal="center" vertical="center"/>
    </xf>
    <xf numFmtId="0" fontId="11" fillId="3" borderId="21" xfId="1" applyFont="1" applyFill="1" applyBorder="1" applyAlignment="1">
      <alignment horizontal="center" vertical="center"/>
    </xf>
    <xf numFmtId="0" fontId="3" fillId="5" borderId="3" xfId="1" applyFont="1" applyFill="1" applyBorder="1" applyAlignment="1">
      <alignment horizontal="center" vertical="center"/>
    </xf>
    <xf numFmtId="0" fontId="3" fillId="5" borderId="4" xfId="1" applyFont="1" applyFill="1" applyBorder="1" applyAlignment="1">
      <alignment horizontal="center" vertical="center"/>
    </xf>
    <xf numFmtId="0" fontId="3" fillId="3" borderId="3" xfId="1" applyFont="1" applyFill="1" applyBorder="1" applyAlignment="1">
      <alignment horizontal="center" vertical="center"/>
    </xf>
    <xf numFmtId="0" fontId="3" fillId="3" borderId="4" xfId="1" applyFont="1" applyFill="1" applyBorder="1" applyAlignment="1">
      <alignment horizontal="center" vertical="center"/>
    </xf>
    <xf numFmtId="0" fontId="1" fillId="2" borderId="3" xfId="1" applyFill="1" applyBorder="1" applyAlignment="1" applyProtection="1">
      <alignment horizontal="center" vertical="center"/>
      <protection locked="0"/>
    </xf>
    <xf numFmtId="0" fontId="1" fillId="2" borderId="4" xfId="1" applyFill="1" applyBorder="1" applyAlignment="1" applyProtection="1">
      <alignment horizontal="center" vertical="center"/>
      <protection locked="0"/>
    </xf>
    <xf numFmtId="0" fontId="11" fillId="7" borderId="14" xfId="1" applyFont="1" applyFill="1" applyBorder="1" applyAlignment="1">
      <alignment horizontal="center" vertical="center"/>
    </xf>
    <xf numFmtId="0" fontId="11" fillId="7" borderId="15" xfId="1" applyFont="1" applyFill="1" applyBorder="1" applyAlignment="1">
      <alignment horizontal="center" vertical="center"/>
    </xf>
    <xf numFmtId="0" fontId="1" fillId="2" borderId="18" xfId="1" applyFill="1" applyBorder="1" applyAlignment="1">
      <alignment horizontal="center" vertical="center"/>
    </xf>
    <xf numFmtId="0" fontId="1" fillId="2" borderId="19" xfId="1" applyFill="1" applyBorder="1" applyAlignment="1">
      <alignment horizontal="center" vertical="center"/>
    </xf>
    <xf numFmtId="0" fontId="1" fillId="2" borderId="9" xfId="1" applyFill="1" applyBorder="1" applyAlignment="1">
      <alignment horizontal="center" vertical="center"/>
    </xf>
    <xf numFmtId="0" fontId="1" fillId="2" borderId="0" xfId="1" applyFill="1" applyAlignment="1">
      <alignment horizontal="center" vertical="center"/>
    </xf>
    <xf numFmtId="3" fontId="11" fillId="3" borderId="20" xfId="1" applyNumberFormat="1" applyFont="1" applyFill="1" applyBorder="1" applyAlignment="1">
      <alignment horizontal="center" vertical="center"/>
    </xf>
    <xf numFmtId="3" fontId="11" fillId="3" borderId="19" xfId="1" applyNumberFormat="1" applyFont="1" applyFill="1" applyBorder="1" applyAlignment="1">
      <alignment horizontal="center" vertical="center"/>
    </xf>
    <xf numFmtId="0" fontId="11" fillId="3" borderId="20" xfId="1" applyFont="1" applyFill="1" applyBorder="1" applyAlignment="1" applyProtection="1">
      <alignment horizontal="center" vertical="center"/>
      <protection locked="0"/>
    </xf>
    <xf numFmtId="0" fontId="11" fillId="3" borderId="21" xfId="1" applyFont="1" applyFill="1" applyBorder="1" applyAlignment="1" applyProtection="1">
      <alignment horizontal="center" vertical="center"/>
      <protection locked="0"/>
    </xf>
    <xf numFmtId="0" fontId="15" fillId="5" borderId="2" xfId="1" applyFont="1" applyFill="1" applyBorder="1" applyAlignment="1">
      <alignment horizontal="center" vertical="center"/>
    </xf>
    <xf numFmtId="0" fontId="5" fillId="5" borderId="2" xfId="1" applyFont="1" applyFill="1" applyBorder="1" applyAlignment="1">
      <alignment horizontal="center" vertical="center"/>
    </xf>
    <xf numFmtId="0" fontId="1" fillId="2" borderId="2" xfId="1" applyFill="1" applyBorder="1" applyAlignment="1">
      <alignment horizontal="center" vertical="center"/>
    </xf>
    <xf numFmtId="0" fontId="5" fillId="3" borderId="2" xfId="1" applyFont="1" applyFill="1" applyBorder="1" applyAlignment="1" applyProtection="1">
      <alignment horizontal="center" vertical="center"/>
      <protection locked="0"/>
    </xf>
    <xf numFmtId="1" fontId="5" fillId="3" borderId="2" xfId="1" applyNumberFormat="1" applyFont="1" applyFill="1" applyBorder="1" applyAlignment="1" applyProtection="1">
      <alignment horizontal="center" vertical="center"/>
      <protection locked="0"/>
    </xf>
    <xf numFmtId="0" fontId="3" fillId="5" borderId="12" xfId="1" applyFont="1" applyFill="1" applyBorder="1" applyAlignment="1">
      <alignment horizontal="center" vertical="center"/>
    </xf>
    <xf numFmtId="0" fontId="3" fillId="3" borderId="12" xfId="1" applyFont="1" applyFill="1" applyBorder="1" applyAlignment="1">
      <alignment horizontal="center" vertical="center"/>
    </xf>
    <xf numFmtId="0" fontId="20" fillId="6" borderId="13" xfId="1" applyFont="1" applyFill="1" applyBorder="1" applyAlignment="1">
      <alignment horizontal="center" vertical="center"/>
    </xf>
    <xf numFmtId="0" fontId="20" fillId="6" borderId="0" xfId="1" applyFont="1" applyFill="1" applyAlignment="1">
      <alignment horizontal="center" vertical="center"/>
    </xf>
    <xf numFmtId="0" fontId="11" fillId="8" borderId="16" xfId="1" applyFont="1" applyFill="1" applyBorder="1" applyAlignment="1">
      <alignment horizontal="center" vertical="center"/>
    </xf>
    <xf numFmtId="0" fontId="11" fillId="8" borderId="15" xfId="1" applyFont="1" applyFill="1" applyBorder="1" applyAlignment="1">
      <alignment horizontal="center" vertical="center"/>
    </xf>
    <xf numFmtId="0" fontId="11" fillId="8" borderId="17" xfId="1" applyFont="1" applyFill="1" applyBorder="1" applyAlignment="1">
      <alignment horizontal="center" vertical="center"/>
    </xf>
    <xf numFmtId="1" fontId="11" fillId="3" borderId="20" xfId="1" applyNumberFormat="1" applyFont="1" applyFill="1" applyBorder="1" applyAlignment="1">
      <alignment horizontal="center" vertical="center"/>
    </xf>
    <xf numFmtId="1" fontId="11" fillId="3" borderId="23" xfId="1" applyNumberFormat="1" applyFont="1" applyFill="1" applyBorder="1" applyAlignment="1">
      <alignment horizontal="center" vertical="center"/>
    </xf>
    <xf numFmtId="1" fontId="11" fillId="3" borderId="21" xfId="1" applyNumberFormat="1" applyFont="1" applyFill="1" applyBorder="1" applyAlignment="1">
      <alignment horizontal="center" vertical="center"/>
    </xf>
    <xf numFmtId="0" fontId="11" fillId="3" borderId="24" xfId="1" applyFont="1" applyFill="1" applyBorder="1" applyAlignment="1">
      <alignment horizontal="center" vertical="center"/>
    </xf>
    <xf numFmtId="0" fontId="11" fillId="3" borderId="25" xfId="1" applyFont="1" applyFill="1" applyBorder="1" applyAlignment="1">
      <alignment horizontal="center" vertical="center"/>
    </xf>
    <xf numFmtId="0" fontId="11" fillId="3" borderId="26" xfId="1" applyFont="1" applyFill="1" applyBorder="1" applyAlignment="1">
      <alignment horizontal="center" vertical="center"/>
    </xf>
    <xf numFmtId="1" fontId="11" fillId="3" borderId="9" xfId="1" applyNumberFormat="1" applyFont="1" applyFill="1" applyBorder="1" applyAlignment="1">
      <alignment horizontal="center" vertical="center"/>
    </xf>
    <xf numFmtId="1" fontId="11" fillId="3" borderId="0" xfId="1" applyNumberFormat="1" applyFont="1" applyFill="1" applyAlignment="1">
      <alignment horizontal="center" vertical="center"/>
    </xf>
    <xf numFmtId="0" fontId="11" fillId="3" borderId="16" xfId="1" applyFont="1" applyFill="1" applyBorder="1" applyAlignment="1">
      <alignment horizontal="center" vertical="center"/>
    </xf>
    <xf numFmtId="0" fontId="11" fillId="3" borderId="22" xfId="1" applyFont="1" applyFill="1" applyBorder="1" applyAlignment="1">
      <alignment horizontal="center" vertical="center"/>
    </xf>
    <xf numFmtId="0" fontId="11" fillId="3" borderId="17" xfId="1" applyFont="1" applyFill="1" applyBorder="1" applyAlignment="1">
      <alignment horizontal="center" vertical="center"/>
    </xf>
    <xf numFmtId="0" fontId="11" fillId="7" borderId="22" xfId="1" applyFont="1" applyFill="1" applyBorder="1" applyAlignment="1">
      <alignment horizontal="center" vertical="center"/>
    </xf>
    <xf numFmtId="0" fontId="11" fillId="7" borderId="17" xfId="1" applyFont="1" applyFill="1" applyBorder="1" applyAlignment="1">
      <alignment horizontal="center" vertical="center"/>
    </xf>
    <xf numFmtId="0" fontId="11" fillId="8" borderId="5" xfId="1" applyFont="1" applyFill="1" applyBorder="1" applyAlignment="1">
      <alignment horizontal="center" vertical="center"/>
    </xf>
    <xf numFmtId="0" fontId="11" fillId="8" borderId="6" xfId="1" applyFont="1" applyFill="1" applyBorder="1" applyAlignment="1">
      <alignment horizontal="center" vertical="center"/>
    </xf>
    <xf numFmtId="0" fontId="11" fillId="8" borderId="7" xfId="1" applyFont="1" applyFill="1" applyBorder="1" applyAlignment="1">
      <alignment horizontal="center" vertical="center"/>
    </xf>
    <xf numFmtId="2" fontId="11" fillId="3" borderId="27" xfId="1" applyNumberFormat="1" applyFont="1" applyFill="1" applyBorder="1" applyAlignment="1">
      <alignment horizontal="center" vertical="center"/>
    </xf>
    <xf numFmtId="2" fontId="11" fillId="3" borderId="13" xfId="1" applyNumberFormat="1" applyFont="1" applyFill="1" applyBorder="1" applyAlignment="1">
      <alignment horizontal="center" vertical="center"/>
    </xf>
    <xf numFmtId="2" fontId="11" fillId="3" borderId="28" xfId="1" applyNumberFormat="1" applyFont="1" applyFill="1" applyBorder="1" applyAlignment="1">
      <alignment horizontal="center" vertical="center"/>
    </xf>
    <xf numFmtId="0" fontId="3" fillId="5" borderId="37" xfId="1" applyFont="1" applyFill="1" applyBorder="1" applyAlignment="1">
      <alignment horizontal="center" vertical="center"/>
    </xf>
    <xf numFmtId="0" fontId="3" fillId="5" borderId="38" xfId="1" applyFont="1" applyFill="1" applyBorder="1" applyAlignment="1">
      <alignment horizontal="center" vertical="center"/>
    </xf>
    <xf numFmtId="0" fontId="1" fillId="2" borderId="8" xfId="1" applyFill="1" applyBorder="1" applyAlignment="1">
      <alignment horizontal="center" vertical="center"/>
    </xf>
    <xf numFmtId="0" fontId="11" fillId="7" borderId="10" xfId="1" applyFont="1" applyFill="1" applyBorder="1" applyAlignment="1">
      <alignment horizontal="center" vertical="center"/>
    </xf>
    <xf numFmtId="0" fontId="11" fillId="7" borderId="29" xfId="1" applyFont="1" applyFill="1" applyBorder="1" applyAlignment="1">
      <alignment horizontal="center" vertical="center"/>
    </xf>
    <xf numFmtId="0" fontId="11" fillId="7" borderId="30" xfId="1" applyFont="1" applyFill="1" applyBorder="1" applyAlignment="1">
      <alignment horizontal="center" vertical="center"/>
    </xf>
    <xf numFmtId="0" fontId="11" fillId="7" borderId="31" xfId="1" applyFont="1" applyFill="1" applyBorder="1" applyAlignment="1">
      <alignment horizontal="center" vertical="center"/>
    </xf>
    <xf numFmtId="2" fontId="11" fillId="3" borderId="18" xfId="1" applyNumberFormat="1" applyFont="1" applyFill="1" applyBorder="1" applyAlignment="1">
      <alignment horizontal="center" vertical="center"/>
    </xf>
    <xf numFmtId="2" fontId="11" fillId="3" borderId="19" xfId="1" applyNumberFormat="1" applyFont="1" applyFill="1" applyBorder="1" applyAlignment="1">
      <alignment horizontal="center" vertical="center"/>
    </xf>
    <xf numFmtId="2" fontId="11" fillId="3" borderId="3" xfId="1" applyNumberFormat="1" applyFont="1" applyFill="1" applyBorder="1" applyAlignment="1">
      <alignment horizontal="center" vertical="center"/>
    </xf>
    <xf numFmtId="2" fontId="11" fillId="3" borderId="4" xfId="1" applyNumberFormat="1" applyFont="1" applyFill="1" applyBorder="1" applyAlignment="1">
      <alignment horizontal="center" vertical="center"/>
    </xf>
    <xf numFmtId="2" fontId="11" fillId="3" borderId="24" xfId="1" applyNumberFormat="1" applyFont="1" applyFill="1" applyBorder="1" applyAlignment="1">
      <alignment horizontal="center" vertical="center"/>
    </xf>
    <xf numFmtId="2" fontId="11" fillId="3" borderId="25" xfId="1" applyNumberFormat="1" applyFont="1" applyFill="1" applyBorder="1" applyAlignment="1">
      <alignment horizontal="center" vertical="center"/>
    </xf>
    <xf numFmtId="2" fontId="11" fillId="3" borderId="26" xfId="1" applyNumberFormat="1" applyFont="1" applyFill="1" applyBorder="1" applyAlignment="1">
      <alignment horizontal="center" vertical="center"/>
    </xf>
    <xf numFmtId="0" fontId="11" fillId="3" borderId="3" xfId="1" applyFont="1" applyFill="1" applyBorder="1" applyAlignment="1">
      <alignment horizontal="center" vertical="center"/>
    </xf>
    <xf numFmtId="0" fontId="11" fillId="3" borderId="12" xfId="1" applyFont="1" applyFill="1" applyBorder="1" applyAlignment="1">
      <alignment horizontal="center" vertical="center"/>
    </xf>
    <xf numFmtId="0" fontId="11" fillId="3" borderId="4" xfId="1" applyFont="1" applyFill="1" applyBorder="1" applyAlignment="1">
      <alignment horizontal="center" vertical="center"/>
    </xf>
  </cellXfs>
  <cellStyles count="2">
    <cellStyle name="Normal" xfId="0" builtinId="0"/>
    <cellStyle name="عادي 2" xfId="1" xr:uid="{62AB6DA3-2E87-4E75-BC2C-82EED9C175C6}"/>
  </cellStyles>
  <dxfs count="2">
    <dxf>
      <font>
        <b/>
        <i/>
        <condense val="0"/>
        <extend val="0"/>
        <color indexed="10"/>
      </font>
    </dxf>
    <dxf>
      <font>
        <b/>
        <i/>
        <condense val="0"/>
        <extend val="0"/>
        <color indexed="17"/>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8</xdr:col>
      <xdr:colOff>19050</xdr:colOff>
      <xdr:row>5</xdr:row>
      <xdr:rowOff>428626</xdr:rowOff>
    </xdr:to>
    <xdr:pic>
      <xdr:nvPicPr>
        <xdr:cNvPr id="3" name="Picture 2">
          <a:extLst>
            <a:ext uri="{FF2B5EF4-FFF2-40B4-BE49-F238E27FC236}">
              <a16:creationId xmlns:a16="http://schemas.microsoft.com/office/drawing/2014/main" id="{549BA124-4E00-415D-B501-44D67945DB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4991100" cy="1257300"/>
        </a:xfrm>
        <a:prstGeom prst="rect">
          <a:avLst/>
        </a:prstGeom>
      </xdr:spPr>
    </xdr:pic>
    <xdr:clientData/>
  </xdr:twoCellAnchor>
  <xdr:twoCellAnchor editAs="oneCell">
    <xdr:from>
      <xdr:col>0</xdr:col>
      <xdr:colOff>0</xdr:colOff>
      <xdr:row>0</xdr:row>
      <xdr:rowOff>0</xdr:rowOff>
    </xdr:from>
    <xdr:to>
      <xdr:col>1</xdr:col>
      <xdr:colOff>1105097</xdr:colOff>
      <xdr:row>5</xdr:row>
      <xdr:rowOff>449262</xdr:rowOff>
    </xdr:to>
    <xdr:pic>
      <xdr:nvPicPr>
        <xdr:cNvPr id="4" name="صورة 3">
          <a:extLst>
            <a:ext uri="{FF2B5EF4-FFF2-40B4-BE49-F238E27FC236}">
              <a16:creationId xmlns:a16="http://schemas.microsoft.com/office/drawing/2014/main" id="{850EFCE5-BD42-4EB4-8D37-5A358C6ADE7C}"/>
            </a:ext>
          </a:extLst>
        </xdr:cNvPr>
        <xdr:cNvPicPr>
          <a:picLocks noChangeAspect="1"/>
        </xdr:cNvPicPr>
      </xdr:nvPicPr>
      <xdr:blipFill>
        <a:blip xmlns:r="http://schemas.openxmlformats.org/officeDocument/2006/relationships" r:embed="rId2"/>
        <a:stretch>
          <a:fillRect/>
        </a:stretch>
      </xdr:blipFill>
      <xdr:spPr>
        <a:xfrm>
          <a:off x="0" y="0"/>
          <a:ext cx="1409897" cy="127793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416B2-9710-4B27-A0CA-B40A0AD0C2F1}">
  <sheetPr codeName="Sheet19">
    <tabColor indexed="44"/>
  </sheetPr>
  <dimension ref="A1:I45"/>
  <sheetViews>
    <sheetView tabSelected="1" view="pageBreakPreview" topLeftCell="A28" zoomScaleNormal="100" zoomScaleSheetLayoutView="100" workbookViewId="0">
      <selection activeCell="H41" sqref="H41"/>
    </sheetView>
  </sheetViews>
  <sheetFormatPr defaultColWidth="9" defaultRowHeight="13.2" x14ac:dyDescent="0.3"/>
  <cols>
    <col min="1" max="1" width="4" style="1" customWidth="1"/>
    <col min="2" max="2" width="20.21875" style="1" bestFit="1" customWidth="1"/>
    <col min="3" max="3" width="6.77734375" style="1" customWidth="1"/>
    <col min="4" max="4" width="6.44140625" style="1" customWidth="1"/>
    <col min="5" max="5" width="5.77734375" style="1" customWidth="1"/>
    <col min="6" max="6" width="5.88671875" style="1" customWidth="1"/>
    <col min="7" max="7" width="9.109375" style="1" bestFit="1" customWidth="1"/>
    <col min="8" max="8" width="7" style="1" customWidth="1"/>
    <col min="9" max="9" width="9" style="1" customWidth="1"/>
    <col min="10" max="16384" width="9" style="1"/>
  </cols>
  <sheetData>
    <row r="1" spans="1:9" ht="14.25" customHeight="1" x14ac:dyDescent="0.3">
      <c r="A1" s="23"/>
      <c r="B1" s="23"/>
      <c r="C1" s="23"/>
      <c r="D1" s="23"/>
      <c r="E1" s="23"/>
      <c r="F1" s="23"/>
      <c r="G1" s="23"/>
      <c r="H1" s="23"/>
      <c r="I1" s="3"/>
    </row>
    <row r="2" spans="1:9" ht="12.75" customHeight="1" x14ac:dyDescent="0.3">
      <c r="A2" s="23"/>
      <c r="B2" s="23"/>
      <c r="C2" s="23"/>
      <c r="D2" s="23"/>
      <c r="E2" s="23"/>
      <c r="F2" s="23"/>
      <c r="G2" s="23"/>
      <c r="H2" s="23"/>
      <c r="I2" s="3"/>
    </row>
    <row r="3" spans="1:9" ht="12.75" customHeight="1" x14ac:dyDescent="0.3">
      <c r="A3" s="23"/>
      <c r="B3" s="23"/>
      <c r="C3" s="23"/>
      <c r="D3" s="23"/>
      <c r="E3" s="23"/>
      <c r="F3" s="23"/>
      <c r="G3" s="23"/>
      <c r="H3" s="23"/>
      <c r="I3" s="3"/>
    </row>
    <row r="4" spans="1:9" ht="12.75" customHeight="1" x14ac:dyDescent="0.3">
      <c r="A4" s="23"/>
      <c r="B4" s="23"/>
      <c r="C4" s="23"/>
      <c r="D4" s="23"/>
      <c r="E4" s="23"/>
      <c r="F4" s="23"/>
      <c r="G4" s="23"/>
      <c r="H4" s="23"/>
      <c r="I4" s="3"/>
    </row>
    <row r="5" spans="1:9" ht="12.75" customHeight="1" x14ac:dyDescent="0.3">
      <c r="A5" s="23"/>
      <c r="B5" s="23"/>
      <c r="C5" s="23"/>
      <c r="D5" s="23"/>
      <c r="E5" s="23"/>
      <c r="F5" s="23"/>
      <c r="G5" s="23"/>
      <c r="H5" s="23"/>
      <c r="I5" s="3"/>
    </row>
    <row r="6" spans="1:9" ht="36" customHeight="1" x14ac:dyDescent="0.3">
      <c r="A6" s="23"/>
      <c r="B6" s="23"/>
      <c r="C6" s="23"/>
      <c r="D6" s="23"/>
      <c r="E6" s="23"/>
      <c r="F6" s="23"/>
      <c r="G6" s="23"/>
      <c r="H6" s="23"/>
      <c r="I6" s="3"/>
    </row>
    <row r="7" spans="1:9" ht="0.75" customHeight="1" thickBot="1" x14ac:dyDescent="0.35">
      <c r="A7" s="3"/>
      <c r="B7" s="3"/>
      <c r="C7" s="3"/>
      <c r="D7" s="3"/>
      <c r="E7" s="3"/>
      <c r="F7" s="3"/>
      <c r="G7" s="3"/>
      <c r="H7" s="3"/>
      <c r="I7" s="3"/>
    </row>
    <row r="8" spans="1:9" ht="72" customHeight="1" x14ac:dyDescent="0.3">
      <c r="A8" s="24" t="s">
        <v>38</v>
      </c>
      <c r="B8" s="25"/>
      <c r="C8" s="26"/>
      <c r="D8" s="27" t="s">
        <v>39</v>
      </c>
      <c r="E8" s="28"/>
      <c r="F8" s="28"/>
      <c r="G8" s="28"/>
      <c r="H8" s="29"/>
    </row>
    <row r="9" spans="1:9" ht="29.25" customHeight="1" x14ac:dyDescent="0.3">
      <c r="A9" s="30" t="s">
        <v>40</v>
      </c>
      <c r="B9" s="30"/>
      <c r="C9" s="30"/>
      <c r="D9" s="30"/>
      <c r="E9" s="30"/>
      <c r="F9" s="30"/>
      <c r="G9" s="30"/>
      <c r="H9" s="30"/>
    </row>
    <row r="10" spans="1:9" ht="14.25" customHeight="1" x14ac:dyDescent="0.3">
      <c r="A10" s="56" t="s">
        <v>30</v>
      </c>
      <c r="B10" s="56"/>
      <c r="C10" s="58">
        <f>AI!A1</f>
        <v>2</v>
      </c>
      <c r="D10" s="58"/>
      <c r="E10" s="58"/>
      <c r="F10" s="58"/>
      <c r="G10" s="58"/>
      <c r="H10" s="58"/>
    </row>
    <row r="11" spans="1:9" ht="24" customHeight="1" x14ac:dyDescent="0.3">
      <c r="A11" s="57" t="s">
        <v>17</v>
      </c>
      <c r="B11" s="57"/>
      <c r="C11" s="59" t="str">
        <f>VLOOKUP(Isolated!C10,AI!A:AH,2,FALSE)</f>
        <v>25 Mpa</v>
      </c>
      <c r="D11" s="59"/>
      <c r="E11" s="59"/>
      <c r="F11" s="59"/>
      <c r="G11" s="59"/>
      <c r="H11" s="59"/>
    </row>
    <row r="12" spans="1:9" ht="24" customHeight="1" x14ac:dyDescent="0.3">
      <c r="A12" s="57" t="s">
        <v>16</v>
      </c>
      <c r="B12" s="57"/>
      <c r="C12" s="59" t="str">
        <f>VLOOKUP(Isolated!C10,AI!A:AH,3,FALSE)</f>
        <v>360 Mpa</v>
      </c>
      <c r="D12" s="59"/>
      <c r="E12" s="59"/>
      <c r="F12" s="59"/>
      <c r="G12" s="59"/>
      <c r="H12" s="59"/>
    </row>
    <row r="13" spans="1:9" ht="24" customHeight="1" x14ac:dyDescent="0.3">
      <c r="A13" s="57" t="s">
        <v>15</v>
      </c>
      <c r="B13" s="57"/>
      <c r="C13" s="60" t="str">
        <f>VLOOKUP(Isolated!C10,AI!A:AH,4,FALSE)</f>
        <v>150 Kpa</v>
      </c>
      <c r="D13" s="60"/>
      <c r="E13" s="60"/>
      <c r="F13" s="60"/>
      <c r="G13" s="60"/>
      <c r="H13" s="60"/>
    </row>
    <row r="14" spans="1:9" s="2" customFormat="1" ht="14.25" customHeight="1" x14ac:dyDescent="0.3">
      <c r="A14" s="87" t="s">
        <v>11</v>
      </c>
      <c r="B14" s="40" t="s">
        <v>14</v>
      </c>
      <c r="C14" s="41"/>
      <c r="D14" s="33" t="s">
        <v>13</v>
      </c>
      <c r="E14" s="34"/>
      <c r="F14" s="40" t="s">
        <v>12</v>
      </c>
      <c r="G14" s="61"/>
      <c r="H14" s="41"/>
    </row>
    <row r="15" spans="1:9" s="2" customFormat="1" ht="15.6" x14ac:dyDescent="0.3">
      <c r="A15" s="88"/>
      <c r="B15" s="42" t="s">
        <v>31</v>
      </c>
      <c r="C15" s="43"/>
      <c r="D15" s="5" t="s">
        <v>32</v>
      </c>
      <c r="E15" s="5" t="s">
        <v>33</v>
      </c>
      <c r="F15" s="42" t="s">
        <v>34</v>
      </c>
      <c r="G15" s="62"/>
      <c r="H15" s="43"/>
    </row>
    <row r="16" spans="1:9" s="2" customFormat="1" ht="14.25" customHeight="1" x14ac:dyDescent="0.3">
      <c r="A16" s="8" t="s">
        <v>10</v>
      </c>
      <c r="B16" s="44" t="str">
        <f>VLOOKUP(Isolated!C10,AI!A:AH,5,FALSE)</f>
        <v>376 kN</v>
      </c>
      <c r="C16" s="45"/>
      <c r="D16" s="6" t="str">
        <f>VLOOKUP(Isolated!C10,AI!A:AH,6,FALSE)</f>
        <v>300 mm</v>
      </c>
      <c r="E16" s="6" t="str">
        <f>VLOOKUP(Isolated!C10,AI!A:AH,7,FALSE)</f>
        <v>400 mm</v>
      </c>
      <c r="F16" s="44" t="str">
        <f>VLOOKUP(Isolated!C10,AI!A:AH,8,FALSE)</f>
        <v>300 mm</v>
      </c>
      <c r="G16" s="45"/>
      <c r="H16" s="7" t="str">
        <f>VLOOKUP(Isolated!C10,AI!A:AI,35,FALSE)</f>
        <v>Working P.C</v>
      </c>
    </row>
    <row r="17" spans="1:9" s="2" customFormat="1" x14ac:dyDescent="0.3">
      <c r="A17" s="63" t="s">
        <v>41</v>
      </c>
      <c r="B17" s="63"/>
      <c r="C17" s="63"/>
      <c r="D17" s="63"/>
      <c r="E17" s="63"/>
      <c r="F17" s="63"/>
      <c r="G17" s="63"/>
      <c r="H17" s="63"/>
    </row>
    <row r="18" spans="1:9" s="2" customFormat="1" ht="15" customHeight="1" thickBot="1" x14ac:dyDescent="0.35">
      <c r="A18" s="64"/>
      <c r="B18" s="64"/>
      <c r="C18" s="64"/>
      <c r="D18" s="64"/>
      <c r="E18" s="64"/>
      <c r="F18" s="64"/>
      <c r="G18" s="64"/>
      <c r="H18" s="64"/>
    </row>
    <row r="19" spans="1:9" s="2" customFormat="1" ht="14.25" customHeight="1" x14ac:dyDescent="0.3">
      <c r="A19" s="46" t="s">
        <v>9</v>
      </c>
      <c r="B19" s="47"/>
      <c r="C19" s="65" t="s">
        <v>20</v>
      </c>
      <c r="D19" s="66"/>
      <c r="E19" s="65" t="s">
        <v>18</v>
      </c>
      <c r="F19" s="66"/>
      <c r="G19" s="65" t="s">
        <v>19</v>
      </c>
      <c r="H19" s="67"/>
    </row>
    <row r="20" spans="1:9" s="2" customFormat="1" ht="14.25" customHeight="1" thickBot="1" x14ac:dyDescent="0.35">
      <c r="A20" s="48"/>
      <c r="B20" s="49"/>
      <c r="C20" s="35" t="str">
        <f>VLOOKUP(Isolated!C10,AI!A:AH,9,FALSE)</f>
        <v>1500 mm</v>
      </c>
      <c r="D20" s="36"/>
      <c r="E20" s="35" t="str">
        <f>VLOOKUP(Isolated!C10,AI!A:AH,10,FALSE)</f>
        <v>1600 mm</v>
      </c>
      <c r="F20" s="36"/>
      <c r="G20" s="54" t="str">
        <f>VLOOKUP(Isolated!C10,AI!A:AH,11,FALSE)</f>
        <v>300 mm</v>
      </c>
      <c r="H20" s="55"/>
    </row>
    <row r="21" spans="1:9" s="50" customFormat="1" ht="14.25" customHeight="1" thickBot="1" x14ac:dyDescent="0.35">
      <c r="B21" s="51"/>
      <c r="C21" s="51"/>
      <c r="D21" s="51"/>
      <c r="E21" s="51"/>
      <c r="F21" s="51"/>
      <c r="G21" s="51"/>
      <c r="H21" s="51"/>
      <c r="I21" s="51"/>
    </row>
    <row r="22" spans="1:9" s="2" customFormat="1" ht="14.25" customHeight="1" x14ac:dyDescent="0.3">
      <c r="A22" s="46" t="s">
        <v>8</v>
      </c>
      <c r="B22" s="47"/>
      <c r="C22" s="65" t="s">
        <v>21</v>
      </c>
      <c r="D22" s="66"/>
      <c r="E22" s="65" t="s">
        <v>18</v>
      </c>
      <c r="F22" s="66"/>
      <c r="G22" s="65" t="s">
        <v>19</v>
      </c>
      <c r="H22" s="67"/>
    </row>
    <row r="23" spans="1:9" s="2" customFormat="1" ht="14.25" customHeight="1" thickBot="1" x14ac:dyDescent="0.35">
      <c r="A23" s="48"/>
      <c r="B23" s="49"/>
      <c r="C23" s="52" t="str">
        <f>VLOOKUP(Isolated!C10,AI!A:AH,12,FALSE)</f>
        <v>900 mm</v>
      </c>
      <c r="D23" s="53"/>
      <c r="E23" s="52" t="str">
        <f>VLOOKUP(Isolated!C10,AI!A:AH,13,FALSE)</f>
        <v>1000 mm</v>
      </c>
      <c r="F23" s="53"/>
      <c r="G23" s="54" t="str">
        <f>VLOOKUP(Isolated!C10,AI!A:AH,14,FALSE)</f>
        <v>600 mm</v>
      </c>
      <c r="H23" s="55"/>
    </row>
    <row r="24" spans="1:9" s="50" customFormat="1" ht="13.8" thickBot="1" x14ac:dyDescent="0.35">
      <c r="B24" s="51"/>
      <c r="C24" s="51"/>
      <c r="D24" s="51"/>
      <c r="E24" s="51"/>
      <c r="F24" s="51"/>
      <c r="G24" s="51"/>
      <c r="H24" s="51"/>
      <c r="I24" s="51"/>
    </row>
    <row r="25" spans="1:9" s="2" customFormat="1" ht="14.25" customHeight="1" thickBot="1" x14ac:dyDescent="0.35">
      <c r="A25" s="46" t="s">
        <v>22</v>
      </c>
      <c r="B25" s="47"/>
      <c r="C25" s="76" t="s">
        <v>7</v>
      </c>
      <c r="D25" s="77"/>
      <c r="E25" s="77"/>
      <c r="F25" s="77"/>
      <c r="G25" s="77"/>
      <c r="H25" s="78"/>
    </row>
    <row r="26" spans="1:9" s="2" customFormat="1" ht="14.25" customHeight="1" thickBot="1" x14ac:dyDescent="0.35">
      <c r="A26" s="65" t="str">
        <f>VLOOKUP(Isolated!C10,AI!A:AH,15,FALSE)</f>
        <v>140.275 kPa</v>
      </c>
      <c r="B26" s="66"/>
      <c r="C26" s="37" t="str">
        <f>VLOOKUP(Isolated!C10,AI!A:AH,16,FALSE)</f>
        <v xml:space="preserve">safe </v>
      </c>
      <c r="D26" s="38"/>
      <c r="E26" s="38"/>
      <c r="F26" s="38"/>
      <c r="G26" s="38"/>
      <c r="H26" s="39"/>
    </row>
    <row r="27" spans="1:9" s="74" customFormat="1" ht="14.25" customHeight="1" thickBot="1" x14ac:dyDescent="0.35">
      <c r="B27" s="75"/>
      <c r="C27" s="75"/>
      <c r="D27" s="75"/>
      <c r="E27" s="75"/>
      <c r="F27" s="75"/>
      <c r="G27" s="75"/>
      <c r="H27" s="75"/>
      <c r="I27" s="75"/>
    </row>
    <row r="28" spans="1:9" s="2" customFormat="1" ht="14.25" customHeight="1" thickBot="1" x14ac:dyDescent="0.35">
      <c r="A28" s="46" t="s">
        <v>23</v>
      </c>
      <c r="B28" s="79"/>
      <c r="C28" s="79"/>
      <c r="D28" s="79"/>
      <c r="E28" s="79"/>
      <c r="F28" s="79"/>
      <c r="G28" s="79"/>
      <c r="H28" s="80"/>
    </row>
    <row r="29" spans="1:9" s="2" customFormat="1" ht="14.25" customHeight="1" thickBot="1" x14ac:dyDescent="0.35">
      <c r="A29" s="81" t="str">
        <f>VLOOKUP(Isolated!C10,AI!A:AH,17,FALSE)</f>
        <v>381.66666666667 kPa</v>
      </c>
      <c r="B29" s="82"/>
      <c r="C29" s="82"/>
      <c r="D29" s="82"/>
      <c r="E29" s="82"/>
      <c r="F29" s="82"/>
      <c r="G29" s="82"/>
      <c r="H29" s="83"/>
    </row>
    <row r="30" spans="1:9" s="2" customFormat="1" ht="14.25" customHeight="1" thickBot="1" x14ac:dyDescent="0.35">
      <c r="A30" s="71"/>
      <c r="B30" s="72"/>
      <c r="C30" s="72"/>
      <c r="D30" s="72"/>
      <c r="E30" s="72"/>
      <c r="F30" s="72"/>
      <c r="G30" s="72"/>
      <c r="H30" s="73"/>
    </row>
    <row r="31" spans="1:9" s="2" customFormat="1" ht="17.25" customHeight="1" thickBot="1" x14ac:dyDescent="0.35">
      <c r="A31" s="46" t="s">
        <v>24</v>
      </c>
      <c r="B31" s="79"/>
      <c r="C31" s="81" t="s">
        <v>35</v>
      </c>
      <c r="D31" s="82"/>
      <c r="E31" s="82"/>
      <c r="F31" s="81" t="s">
        <v>7</v>
      </c>
      <c r="G31" s="82"/>
      <c r="H31" s="83"/>
    </row>
    <row r="32" spans="1:9" s="2" customFormat="1" ht="14.25" customHeight="1" thickBot="1" x14ac:dyDescent="0.35">
      <c r="A32" s="94" t="str">
        <f>VLOOKUP(Isolated!C10,AI!A:AH,18,FALSE)</f>
        <v>0.026 N/mm²</v>
      </c>
      <c r="B32" s="95"/>
      <c r="C32" s="19" t="str">
        <f>IF(A32&gt;D32,"&gt;","&lt;")</f>
        <v>&lt;</v>
      </c>
      <c r="D32" s="32" t="str">
        <f>VLOOKUP(Isolated!C10,AI!A:AH,19,FALSE)</f>
        <v>0.65319726474218 N/mm²</v>
      </c>
      <c r="E32" s="32"/>
      <c r="F32" s="37" t="str">
        <f>VLOOKUP(Isolated!C10,AI!A:AH,20,FALSE)</f>
        <v xml:space="preserve">safe </v>
      </c>
      <c r="G32" s="38"/>
      <c r="H32" s="39"/>
    </row>
    <row r="33" spans="1:8" s="2" customFormat="1" ht="14.25" customHeight="1" thickBot="1" x14ac:dyDescent="0.35">
      <c r="A33" s="98"/>
      <c r="B33" s="99"/>
      <c r="C33" s="99"/>
      <c r="D33" s="99"/>
      <c r="E33" s="99"/>
      <c r="F33" s="99"/>
      <c r="G33" s="99"/>
      <c r="H33" s="100"/>
    </row>
    <row r="34" spans="1:8" ht="17.25" customHeight="1" thickBot="1" x14ac:dyDescent="0.35">
      <c r="A34" s="46" t="s">
        <v>25</v>
      </c>
      <c r="B34" s="79"/>
      <c r="C34" s="81" t="s">
        <v>36</v>
      </c>
      <c r="D34" s="82"/>
      <c r="E34" s="82"/>
      <c r="F34" s="81" t="s">
        <v>7</v>
      </c>
      <c r="G34" s="82"/>
      <c r="H34" s="82"/>
    </row>
    <row r="35" spans="1:8" ht="14.25" customHeight="1" x14ac:dyDescent="0.3">
      <c r="A35" s="96" t="str">
        <f>VLOOKUP(Isolated!C10,AI!A:AH,21,FALSE)</f>
        <v>0.038 N/mm²</v>
      </c>
      <c r="B35" s="97"/>
      <c r="C35" s="9" t="str">
        <f>IF(A35&gt;D35,"&gt;","&lt;")</f>
        <v>&lt;</v>
      </c>
      <c r="D35" s="31" t="str">
        <f>VLOOKUP(Isolated!C10,AI!A:AH,22,FALSE)</f>
        <v>1.6125807473323 N/mm²</v>
      </c>
      <c r="E35" s="31"/>
      <c r="F35" s="101" t="str">
        <f>VLOOKUP(Isolated!C10,AI!A:AH,23,FALSE)</f>
        <v xml:space="preserve">safe </v>
      </c>
      <c r="G35" s="102"/>
      <c r="H35" s="103"/>
    </row>
    <row r="36" spans="1:8" ht="14.25" customHeight="1" thickBot="1" x14ac:dyDescent="0.35">
      <c r="A36" s="84"/>
      <c r="B36" s="85"/>
      <c r="C36" s="85"/>
      <c r="D36" s="85"/>
      <c r="E36" s="85"/>
      <c r="F36" s="85"/>
      <c r="G36" s="85"/>
      <c r="H36" s="86"/>
    </row>
    <row r="37" spans="1:8" ht="17.25" customHeight="1" x14ac:dyDescent="0.3">
      <c r="A37" s="46" t="s">
        <v>6</v>
      </c>
      <c r="B37" s="79"/>
      <c r="C37" s="76" t="s">
        <v>37</v>
      </c>
      <c r="D37" s="77"/>
      <c r="E37" s="77"/>
      <c r="F37" s="77"/>
      <c r="G37" s="77"/>
      <c r="H37" s="78"/>
    </row>
    <row r="38" spans="1:8" ht="14.25" customHeight="1" thickBot="1" x14ac:dyDescent="0.35">
      <c r="A38" s="48"/>
      <c r="B38" s="49"/>
      <c r="C38" s="68" t="str">
        <f>VLOOKUP(Isolated!C10,AI!A:AH,24,FALSE)</f>
        <v>795 mm²</v>
      </c>
      <c r="D38" s="69"/>
      <c r="E38" s="69"/>
      <c r="F38" s="69"/>
      <c r="G38" s="69"/>
      <c r="H38" s="70"/>
    </row>
    <row r="39" spans="1:8" ht="14.25" customHeight="1" thickBot="1" x14ac:dyDescent="0.35">
      <c r="A39" s="50"/>
      <c r="B39" s="51"/>
      <c r="C39" s="51"/>
      <c r="D39" s="51"/>
      <c r="E39" s="51"/>
      <c r="F39" s="51"/>
      <c r="G39" s="51"/>
      <c r="H39" s="89"/>
    </row>
    <row r="40" spans="1:8" ht="15.6" x14ac:dyDescent="0.3">
      <c r="A40" s="90" t="s">
        <v>5</v>
      </c>
      <c r="B40" s="91"/>
      <c r="C40" s="14" t="s">
        <v>26</v>
      </c>
      <c r="D40" s="14" t="s">
        <v>27</v>
      </c>
      <c r="E40" s="14" t="s">
        <v>3</v>
      </c>
      <c r="F40" s="14" t="s">
        <v>2</v>
      </c>
      <c r="G40" s="15"/>
      <c r="H40" s="16" t="s">
        <v>1</v>
      </c>
    </row>
    <row r="41" spans="1:8" ht="15" customHeight="1" thickBot="1" x14ac:dyDescent="0.35">
      <c r="A41" s="92"/>
      <c r="B41" s="93"/>
      <c r="C41" s="11">
        <f>VLOOKUP(Isolated!C10,AI!A:AH,25,FALSE)</f>
        <v>24.75</v>
      </c>
      <c r="D41" s="11">
        <f>VLOOKUP(Isolated!C10,AI!A:AH,26,FALSE)</f>
        <v>157.042</v>
      </c>
      <c r="E41" s="9">
        <f>VLOOKUP(Isolated!C10,AI!A:AH,27,FALSE)</f>
        <v>5</v>
      </c>
      <c r="F41" s="10" t="str">
        <f>VLOOKUP(Isolated!C10,AI!A:AH,28,FALSE)</f>
        <v xml:space="preserve"> </v>
      </c>
      <c r="G41" s="13" t="s">
        <v>0</v>
      </c>
      <c r="H41" s="17">
        <f>VLOOKUP(Isolated!C10,AI!A:AH,29,FALSE)</f>
        <v>5</v>
      </c>
    </row>
    <row r="42" spans="1:8" ht="15.6" x14ac:dyDescent="0.3">
      <c r="A42" s="90" t="s">
        <v>4</v>
      </c>
      <c r="B42" s="91"/>
      <c r="C42" s="9" t="s">
        <v>29</v>
      </c>
      <c r="D42" s="9" t="s">
        <v>28</v>
      </c>
      <c r="E42" s="9" t="s">
        <v>3</v>
      </c>
      <c r="F42" s="12" t="s">
        <v>2</v>
      </c>
      <c r="G42" s="9"/>
      <c r="H42" s="17" t="s">
        <v>1</v>
      </c>
    </row>
    <row r="43" spans="1:8" ht="14.25" customHeight="1" thickBot="1" x14ac:dyDescent="0.35">
      <c r="A43" s="92"/>
      <c r="B43" s="93"/>
      <c r="C43" s="18">
        <f>VLOOKUP(Isolated!C10,AI!A:AH,30,FALSE)</f>
        <v>24.75</v>
      </c>
      <c r="D43" s="18">
        <f>VLOOKUP(Isolated!C10,AI!A:AH,31,FALSE)</f>
        <v>157.042</v>
      </c>
      <c r="E43" s="19">
        <f>VLOOKUP(Isolated!C10,AI!A:AH,32,FALSE)</f>
        <v>5</v>
      </c>
      <c r="F43" s="20" t="str">
        <f>VLOOKUP(Isolated!C10,AI!A:AH,33,FALSE)</f>
        <v xml:space="preserve"> </v>
      </c>
      <c r="G43" s="21" t="s">
        <v>0</v>
      </c>
      <c r="H43" s="22">
        <f>VLOOKUP(Isolated!C10,AI!A:AH,34,FALSE)</f>
        <v>6</v>
      </c>
    </row>
    <row r="44" spans="1:8" x14ac:dyDescent="0.3">
      <c r="B44" s="4"/>
      <c r="C44" s="4"/>
      <c r="D44" s="4"/>
      <c r="E44" s="4"/>
      <c r="F44" s="4"/>
      <c r="G44" s="4"/>
      <c r="H44" s="4"/>
    </row>
    <row r="45" spans="1:8" x14ac:dyDescent="0.3">
      <c r="B45" s="4"/>
      <c r="C45" s="4"/>
      <c r="D45" s="4"/>
      <c r="E45" s="4"/>
      <c r="F45" s="4"/>
      <c r="G45" s="4"/>
      <c r="H45" s="4"/>
    </row>
  </sheetData>
  <sheetProtection selectLockedCells="1"/>
  <mergeCells count="68">
    <mergeCell ref="A39:H39"/>
    <mergeCell ref="A40:B41"/>
    <mergeCell ref="A42:B43"/>
    <mergeCell ref="C31:E31"/>
    <mergeCell ref="F31:H31"/>
    <mergeCell ref="A32:B32"/>
    <mergeCell ref="A34:B34"/>
    <mergeCell ref="A35:B35"/>
    <mergeCell ref="A37:B37"/>
    <mergeCell ref="A38:B38"/>
    <mergeCell ref="A33:H33"/>
    <mergeCell ref="C34:E34"/>
    <mergeCell ref="F34:H34"/>
    <mergeCell ref="F35:H35"/>
    <mergeCell ref="C37:H37"/>
    <mergeCell ref="A36:H36"/>
    <mergeCell ref="A26:B26"/>
    <mergeCell ref="A31:B31"/>
    <mergeCell ref="C20:D20"/>
    <mergeCell ref="A14:A15"/>
    <mergeCell ref="A19:B19"/>
    <mergeCell ref="E19:F19"/>
    <mergeCell ref="G19:H19"/>
    <mergeCell ref="C19:D19"/>
    <mergeCell ref="C38:H38"/>
    <mergeCell ref="A30:H30"/>
    <mergeCell ref="G20:H20"/>
    <mergeCell ref="A21:XFD21"/>
    <mergeCell ref="C22:D22"/>
    <mergeCell ref="E22:F22"/>
    <mergeCell ref="G22:H22"/>
    <mergeCell ref="A27:XFD27"/>
    <mergeCell ref="C25:H25"/>
    <mergeCell ref="C26:H26"/>
    <mergeCell ref="A28:H28"/>
    <mergeCell ref="A29:H29"/>
    <mergeCell ref="A24:XFD24"/>
    <mergeCell ref="C23:D23"/>
    <mergeCell ref="E23:F23"/>
    <mergeCell ref="G23:H23"/>
    <mergeCell ref="A10:B10"/>
    <mergeCell ref="A11:B11"/>
    <mergeCell ref="A12:B12"/>
    <mergeCell ref="A13:B13"/>
    <mergeCell ref="C10:H10"/>
    <mergeCell ref="C11:H11"/>
    <mergeCell ref="C12:H12"/>
    <mergeCell ref="C13:H13"/>
    <mergeCell ref="F14:H14"/>
    <mergeCell ref="F15:H15"/>
    <mergeCell ref="F16:G16"/>
    <mergeCell ref="A17:H18"/>
    <mergeCell ref="A1:H6"/>
    <mergeCell ref="A8:C8"/>
    <mergeCell ref="D8:H8"/>
    <mergeCell ref="A9:H9"/>
    <mergeCell ref="D35:E35"/>
    <mergeCell ref="D32:E32"/>
    <mergeCell ref="D14:E14"/>
    <mergeCell ref="E20:F20"/>
    <mergeCell ref="F32:H32"/>
    <mergeCell ref="B14:C14"/>
    <mergeCell ref="B15:C15"/>
    <mergeCell ref="B16:C16"/>
    <mergeCell ref="A22:B22"/>
    <mergeCell ref="A20:B20"/>
    <mergeCell ref="A23:B23"/>
    <mergeCell ref="A25:B25"/>
  </mergeCells>
  <conditionalFormatting sqref="F35 F32 C26">
    <cfRule type="cellIs" dxfId="1" priority="4" stopIfTrue="1" operator="equal">
      <formula>"safe"</formula>
    </cfRule>
    <cfRule type="cellIs" dxfId="0" priority="5" stopIfTrue="1" operator="equal">
      <formula>"unsafe"</formula>
    </cfRule>
  </conditionalFormatting>
  <conditionalFormatting sqref="A27">
    <cfRule type="iconSet" priority="3">
      <iconSet iconSet="3Symbols2" reverse="1">
        <cfvo type="percent" val="0"/>
        <cfvo type="num" val="$C$13"/>
        <cfvo type="num" val="$C$13" gte="0"/>
      </iconSet>
    </cfRule>
  </conditionalFormatting>
  <conditionalFormatting sqref="A32:A33">
    <cfRule type="iconSet" priority="2">
      <iconSet iconSet="3Symbols2" reverse="1">
        <cfvo type="percent" val="0"/>
        <cfvo type="num" val="$D$32"/>
        <cfvo type="num" val="$D$32" gte="0"/>
      </iconSet>
    </cfRule>
  </conditionalFormatting>
  <conditionalFormatting sqref="A35:A36">
    <cfRule type="iconSet" priority="6">
      <iconSet iconSet="3Symbols2" reverse="1">
        <cfvo type="percent" val="0"/>
        <cfvo type="num" val="$D$35"/>
        <cfvo type="num" val="$D$35" gte="0"/>
      </iconSet>
    </cfRule>
  </conditionalFormatting>
  <dataValidations disablePrompts="1" count="2">
    <dataValidation type="decimal" operator="greaterThanOrEqual" allowBlank="1" showInputMessage="1" showErrorMessage="1" errorTitle="Error!" error="t must not be less than b of column" sqref="WVG983062 H65558 IU65558 SQ65558 ACM65558 AMI65558 AWE65558 BGA65558 BPW65558 BZS65558 CJO65558 CTK65558 DDG65558 DNC65558 DWY65558 EGU65558 EQQ65558 FAM65558 FKI65558 FUE65558 GEA65558 GNW65558 GXS65558 HHO65558 HRK65558 IBG65558 ILC65558 IUY65558 JEU65558 JOQ65558 JYM65558 KII65558 KSE65558 LCA65558 LLW65558 LVS65558 MFO65558 MPK65558 MZG65558 NJC65558 NSY65558 OCU65558 OMQ65558 OWM65558 PGI65558 PQE65558 QAA65558 QJW65558 QTS65558 RDO65558 RNK65558 RXG65558 SHC65558 SQY65558 TAU65558 TKQ65558 TUM65558 UEI65558 UOE65558 UYA65558 VHW65558 VRS65558 WBO65558 WLK65558 WVG65558 H131094 IU131094 SQ131094 ACM131094 AMI131094 AWE131094 BGA131094 BPW131094 BZS131094 CJO131094 CTK131094 DDG131094 DNC131094 DWY131094 EGU131094 EQQ131094 FAM131094 FKI131094 FUE131094 GEA131094 GNW131094 GXS131094 HHO131094 HRK131094 IBG131094 ILC131094 IUY131094 JEU131094 JOQ131094 JYM131094 KII131094 KSE131094 LCA131094 LLW131094 LVS131094 MFO131094 MPK131094 MZG131094 NJC131094 NSY131094 OCU131094 OMQ131094 OWM131094 PGI131094 PQE131094 QAA131094 QJW131094 QTS131094 RDO131094 RNK131094 RXG131094 SHC131094 SQY131094 TAU131094 TKQ131094 TUM131094 UEI131094 UOE131094 UYA131094 VHW131094 VRS131094 WBO131094 WLK131094 WVG131094 H196630 IU196630 SQ196630 ACM196630 AMI196630 AWE196630 BGA196630 BPW196630 BZS196630 CJO196630 CTK196630 DDG196630 DNC196630 DWY196630 EGU196630 EQQ196630 FAM196630 FKI196630 FUE196630 GEA196630 GNW196630 GXS196630 HHO196630 HRK196630 IBG196630 ILC196630 IUY196630 JEU196630 JOQ196630 JYM196630 KII196630 KSE196630 LCA196630 LLW196630 LVS196630 MFO196630 MPK196630 MZG196630 NJC196630 NSY196630 OCU196630 OMQ196630 OWM196630 PGI196630 PQE196630 QAA196630 QJW196630 QTS196630 RDO196630 RNK196630 RXG196630 SHC196630 SQY196630 TAU196630 TKQ196630 TUM196630 UEI196630 UOE196630 UYA196630 VHW196630 VRS196630 WBO196630 WLK196630 WVG196630 H262166 IU262166 SQ262166 ACM262166 AMI262166 AWE262166 BGA262166 BPW262166 BZS262166 CJO262166 CTK262166 DDG262166 DNC262166 DWY262166 EGU262166 EQQ262166 FAM262166 FKI262166 FUE262166 GEA262166 GNW262166 GXS262166 HHO262166 HRK262166 IBG262166 ILC262166 IUY262166 JEU262166 JOQ262166 JYM262166 KII262166 KSE262166 LCA262166 LLW262166 LVS262166 MFO262166 MPK262166 MZG262166 NJC262166 NSY262166 OCU262166 OMQ262166 OWM262166 PGI262166 PQE262166 QAA262166 QJW262166 QTS262166 RDO262166 RNK262166 RXG262166 SHC262166 SQY262166 TAU262166 TKQ262166 TUM262166 UEI262166 UOE262166 UYA262166 VHW262166 VRS262166 WBO262166 WLK262166 WVG262166 H327702 IU327702 SQ327702 ACM327702 AMI327702 AWE327702 BGA327702 BPW327702 BZS327702 CJO327702 CTK327702 DDG327702 DNC327702 DWY327702 EGU327702 EQQ327702 FAM327702 FKI327702 FUE327702 GEA327702 GNW327702 GXS327702 HHO327702 HRK327702 IBG327702 ILC327702 IUY327702 JEU327702 JOQ327702 JYM327702 KII327702 KSE327702 LCA327702 LLW327702 LVS327702 MFO327702 MPK327702 MZG327702 NJC327702 NSY327702 OCU327702 OMQ327702 OWM327702 PGI327702 PQE327702 QAA327702 QJW327702 QTS327702 RDO327702 RNK327702 RXG327702 SHC327702 SQY327702 TAU327702 TKQ327702 TUM327702 UEI327702 UOE327702 UYA327702 VHW327702 VRS327702 WBO327702 WLK327702 WVG327702 H393238 IU393238 SQ393238 ACM393238 AMI393238 AWE393238 BGA393238 BPW393238 BZS393238 CJO393238 CTK393238 DDG393238 DNC393238 DWY393238 EGU393238 EQQ393238 FAM393238 FKI393238 FUE393238 GEA393238 GNW393238 GXS393238 HHO393238 HRK393238 IBG393238 ILC393238 IUY393238 JEU393238 JOQ393238 JYM393238 KII393238 KSE393238 LCA393238 LLW393238 LVS393238 MFO393238 MPK393238 MZG393238 NJC393238 NSY393238 OCU393238 OMQ393238 OWM393238 PGI393238 PQE393238 QAA393238 QJW393238 QTS393238 RDO393238 RNK393238 RXG393238 SHC393238 SQY393238 TAU393238 TKQ393238 TUM393238 UEI393238 UOE393238 UYA393238 VHW393238 VRS393238 WBO393238 WLK393238 WVG393238 H458774 IU458774 SQ458774 ACM458774 AMI458774 AWE458774 BGA458774 BPW458774 BZS458774 CJO458774 CTK458774 DDG458774 DNC458774 DWY458774 EGU458774 EQQ458774 FAM458774 FKI458774 FUE458774 GEA458774 GNW458774 GXS458774 HHO458774 HRK458774 IBG458774 ILC458774 IUY458774 JEU458774 JOQ458774 JYM458774 KII458774 KSE458774 LCA458774 LLW458774 LVS458774 MFO458774 MPK458774 MZG458774 NJC458774 NSY458774 OCU458774 OMQ458774 OWM458774 PGI458774 PQE458774 QAA458774 QJW458774 QTS458774 RDO458774 RNK458774 RXG458774 SHC458774 SQY458774 TAU458774 TKQ458774 TUM458774 UEI458774 UOE458774 UYA458774 VHW458774 VRS458774 WBO458774 WLK458774 WVG458774 H524310 IU524310 SQ524310 ACM524310 AMI524310 AWE524310 BGA524310 BPW524310 BZS524310 CJO524310 CTK524310 DDG524310 DNC524310 DWY524310 EGU524310 EQQ524310 FAM524310 FKI524310 FUE524310 GEA524310 GNW524310 GXS524310 HHO524310 HRK524310 IBG524310 ILC524310 IUY524310 JEU524310 JOQ524310 JYM524310 KII524310 KSE524310 LCA524310 LLW524310 LVS524310 MFO524310 MPK524310 MZG524310 NJC524310 NSY524310 OCU524310 OMQ524310 OWM524310 PGI524310 PQE524310 QAA524310 QJW524310 QTS524310 RDO524310 RNK524310 RXG524310 SHC524310 SQY524310 TAU524310 TKQ524310 TUM524310 UEI524310 UOE524310 UYA524310 VHW524310 VRS524310 WBO524310 WLK524310 WVG524310 H589846 IU589846 SQ589846 ACM589846 AMI589846 AWE589846 BGA589846 BPW589846 BZS589846 CJO589846 CTK589846 DDG589846 DNC589846 DWY589846 EGU589846 EQQ589846 FAM589846 FKI589846 FUE589846 GEA589846 GNW589846 GXS589846 HHO589846 HRK589846 IBG589846 ILC589846 IUY589846 JEU589846 JOQ589846 JYM589846 KII589846 KSE589846 LCA589846 LLW589846 LVS589846 MFO589846 MPK589846 MZG589846 NJC589846 NSY589846 OCU589846 OMQ589846 OWM589846 PGI589846 PQE589846 QAA589846 QJW589846 QTS589846 RDO589846 RNK589846 RXG589846 SHC589846 SQY589846 TAU589846 TKQ589846 TUM589846 UEI589846 UOE589846 UYA589846 VHW589846 VRS589846 WBO589846 WLK589846 WVG589846 H655382 IU655382 SQ655382 ACM655382 AMI655382 AWE655382 BGA655382 BPW655382 BZS655382 CJO655382 CTK655382 DDG655382 DNC655382 DWY655382 EGU655382 EQQ655382 FAM655382 FKI655382 FUE655382 GEA655382 GNW655382 GXS655382 HHO655382 HRK655382 IBG655382 ILC655382 IUY655382 JEU655382 JOQ655382 JYM655382 KII655382 KSE655382 LCA655382 LLW655382 LVS655382 MFO655382 MPK655382 MZG655382 NJC655382 NSY655382 OCU655382 OMQ655382 OWM655382 PGI655382 PQE655382 QAA655382 QJW655382 QTS655382 RDO655382 RNK655382 RXG655382 SHC655382 SQY655382 TAU655382 TKQ655382 TUM655382 UEI655382 UOE655382 UYA655382 VHW655382 VRS655382 WBO655382 WLK655382 WVG655382 H720918 IU720918 SQ720918 ACM720918 AMI720918 AWE720918 BGA720918 BPW720918 BZS720918 CJO720918 CTK720918 DDG720918 DNC720918 DWY720918 EGU720918 EQQ720918 FAM720918 FKI720918 FUE720918 GEA720918 GNW720918 GXS720918 HHO720918 HRK720918 IBG720918 ILC720918 IUY720918 JEU720918 JOQ720918 JYM720918 KII720918 KSE720918 LCA720918 LLW720918 LVS720918 MFO720918 MPK720918 MZG720918 NJC720918 NSY720918 OCU720918 OMQ720918 OWM720918 PGI720918 PQE720918 QAA720918 QJW720918 QTS720918 RDO720918 RNK720918 RXG720918 SHC720918 SQY720918 TAU720918 TKQ720918 TUM720918 UEI720918 UOE720918 UYA720918 VHW720918 VRS720918 WBO720918 WLK720918 WVG720918 H786454 IU786454 SQ786454 ACM786454 AMI786454 AWE786454 BGA786454 BPW786454 BZS786454 CJO786454 CTK786454 DDG786454 DNC786454 DWY786454 EGU786454 EQQ786454 FAM786454 FKI786454 FUE786454 GEA786454 GNW786454 GXS786454 HHO786454 HRK786454 IBG786454 ILC786454 IUY786454 JEU786454 JOQ786454 JYM786454 KII786454 KSE786454 LCA786454 LLW786454 LVS786454 MFO786454 MPK786454 MZG786454 NJC786454 NSY786454 OCU786454 OMQ786454 OWM786454 PGI786454 PQE786454 QAA786454 QJW786454 QTS786454 RDO786454 RNK786454 RXG786454 SHC786454 SQY786454 TAU786454 TKQ786454 TUM786454 UEI786454 UOE786454 UYA786454 VHW786454 VRS786454 WBO786454 WLK786454 WVG786454 H851990 IU851990 SQ851990 ACM851990 AMI851990 AWE851990 BGA851990 BPW851990 BZS851990 CJO851990 CTK851990 DDG851990 DNC851990 DWY851990 EGU851990 EQQ851990 FAM851990 FKI851990 FUE851990 GEA851990 GNW851990 GXS851990 HHO851990 HRK851990 IBG851990 ILC851990 IUY851990 JEU851990 JOQ851990 JYM851990 KII851990 KSE851990 LCA851990 LLW851990 LVS851990 MFO851990 MPK851990 MZG851990 NJC851990 NSY851990 OCU851990 OMQ851990 OWM851990 PGI851990 PQE851990 QAA851990 QJW851990 QTS851990 RDO851990 RNK851990 RXG851990 SHC851990 SQY851990 TAU851990 TKQ851990 TUM851990 UEI851990 UOE851990 UYA851990 VHW851990 VRS851990 WBO851990 WLK851990 WVG851990 H917526 IU917526 SQ917526 ACM917526 AMI917526 AWE917526 BGA917526 BPW917526 BZS917526 CJO917526 CTK917526 DDG917526 DNC917526 DWY917526 EGU917526 EQQ917526 FAM917526 FKI917526 FUE917526 GEA917526 GNW917526 GXS917526 HHO917526 HRK917526 IBG917526 ILC917526 IUY917526 JEU917526 JOQ917526 JYM917526 KII917526 KSE917526 LCA917526 LLW917526 LVS917526 MFO917526 MPK917526 MZG917526 NJC917526 NSY917526 OCU917526 OMQ917526 OWM917526 PGI917526 PQE917526 QAA917526 QJW917526 QTS917526 RDO917526 RNK917526 RXG917526 SHC917526 SQY917526 TAU917526 TKQ917526 TUM917526 UEI917526 UOE917526 UYA917526 VHW917526 VRS917526 WBO917526 WLK917526 WVG917526 H983062 IU983062 SQ983062 ACM983062 AMI983062 AWE983062 BGA983062 BPW983062 BZS983062 CJO983062 CTK983062 DDG983062 DNC983062 DWY983062 EGU983062 EQQ983062 FAM983062 FKI983062 FUE983062 GEA983062 GNW983062 GXS983062 HHO983062 HRK983062 IBG983062 ILC983062 IUY983062 JEU983062 JOQ983062 JYM983062 KII983062 KSE983062 LCA983062 LLW983062 LVS983062 MFO983062 MPK983062 MZG983062 NJC983062 NSY983062 OCU983062 OMQ983062 OWM983062 PGI983062 PQE983062 QAA983062 QJW983062 QTS983062 RDO983062 RNK983062 RXG983062 SHC983062 SQY983062 TAU983062 TKQ983062 TUM983062 UEI983062 UOE983062 UYA983062 VHW983062 VRS983062 WBO983062 WLK983062 AMI23 AWE23 BGA23 BPW23 BZS23 CJO23 CTK23 DDG23 DNC23 DWY23 EGU23 EQQ23 FAM23 FKI23 FUE23 GEA23 GNW23 GXS23 HHO23 HRK23 IBG23 ILC23 IUY23 JEU23 JOQ23 JYM23 KII23 KSE23 LCA23 LLW23 LVS23 MFO23 MPK23 MZG23 NJC23 NSY23 OCU23 OMQ23 OWM23 PGI23 PQE23 QAA23 QJW23 QTS23 RDO23 RNK23 RXG23 SHC23 SQY23 TAU23 TKQ23 TUM23 UEI23 UOE23 UYA23 VHW23 VRS23 WBO23 WLK23 WVG23 IU23 SQ23 ACM23" xr:uid="{81CFD260-4CFC-44B9-A541-F75CD3AB5C41}">
      <formula1>D16</formula1>
    </dataValidation>
    <dataValidation type="list" allowBlank="1" showInputMessage="1" showErrorMessage="1" sqref="IP12 WVB983049 WLF983049 WBJ983049 VRN983049 VHR983049 UXV983049 UNZ983049 UED983049 TUH983049 TKL983049 TAP983049 SQT983049 SGX983049 RXB983049 RNF983049 RDJ983049 QTN983049 QJR983049 PZV983049 PPZ983049 PGD983049 OWH983049 OML983049 OCP983049 NST983049 NIX983049 MZB983049 MPF983049 MFJ983049 LVN983049 LLR983049 LBV983049 KRZ983049 KID983049 JYH983049 JOL983049 JEP983049 IUT983049 IKX983049 IBB983049 HRF983049 HHJ983049 GXN983049 GNR983049 GDV983049 FTZ983049 FKD983049 FAH983049 EQL983049 EGP983049 DWT983049 DMX983049 DDB983049 CTF983049 CJJ983049 BZN983049 BPR983049 BFV983049 AVZ983049 AMD983049 ACH983049 SL983049 IP983049 C983049 WVB917513 WLF917513 WBJ917513 VRN917513 VHR917513 UXV917513 UNZ917513 UED917513 TUH917513 TKL917513 TAP917513 SQT917513 SGX917513 RXB917513 RNF917513 RDJ917513 QTN917513 QJR917513 PZV917513 PPZ917513 PGD917513 OWH917513 OML917513 OCP917513 NST917513 NIX917513 MZB917513 MPF917513 MFJ917513 LVN917513 LLR917513 LBV917513 KRZ917513 KID917513 JYH917513 JOL917513 JEP917513 IUT917513 IKX917513 IBB917513 HRF917513 HHJ917513 GXN917513 GNR917513 GDV917513 FTZ917513 FKD917513 FAH917513 EQL917513 EGP917513 DWT917513 DMX917513 DDB917513 CTF917513 CJJ917513 BZN917513 BPR917513 BFV917513 AVZ917513 AMD917513 ACH917513 SL917513 IP917513 C917513 WVB851977 WLF851977 WBJ851977 VRN851977 VHR851977 UXV851977 UNZ851977 UED851977 TUH851977 TKL851977 TAP851977 SQT851977 SGX851977 RXB851977 RNF851977 RDJ851977 QTN851977 QJR851977 PZV851977 PPZ851977 PGD851977 OWH851977 OML851977 OCP851977 NST851977 NIX851977 MZB851977 MPF851977 MFJ851977 LVN851977 LLR851977 LBV851977 KRZ851977 KID851977 JYH851977 JOL851977 JEP851977 IUT851977 IKX851977 IBB851977 HRF851977 HHJ851977 GXN851977 GNR851977 GDV851977 FTZ851977 FKD851977 FAH851977 EQL851977 EGP851977 DWT851977 DMX851977 DDB851977 CTF851977 CJJ851977 BZN851977 BPR851977 BFV851977 AVZ851977 AMD851977 ACH851977 SL851977 IP851977 C851977 WVB786441 WLF786441 WBJ786441 VRN786441 VHR786441 UXV786441 UNZ786441 UED786441 TUH786441 TKL786441 TAP786441 SQT786441 SGX786441 RXB786441 RNF786441 RDJ786441 QTN786441 QJR786441 PZV786441 PPZ786441 PGD786441 OWH786441 OML786441 OCP786441 NST786441 NIX786441 MZB786441 MPF786441 MFJ786441 LVN786441 LLR786441 LBV786441 KRZ786441 KID786441 JYH786441 JOL786441 JEP786441 IUT786441 IKX786441 IBB786441 HRF786441 HHJ786441 GXN786441 GNR786441 GDV786441 FTZ786441 FKD786441 FAH786441 EQL786441 EGP786441 DWT786441 DMX786441 DDB786441 CTF786441 CJJ786441 BZN786441 BPR786441 BFV786441 AVZ786441 AMD786441 ACH786441 SL786441 IP786441 C786441 WVB720905 WLF720905 WBJ720905 VRN720905 VHR720905 UXV720905 UNZ720905 UED720905 TUH720905 TKL720905 TAP720905 SQT720905 SGX720905 RXB720905 RNF720905 RDJ720905 QTN720905 QJR720905 PZV720905 PPZ720905 PGD720905 OWH720905 OML720905 OCP720905 NST720905 NIX720905 MZB720905 MPF720905 MFJ720905 LVN720905 LLR720905 LBV720905 KRZ720905 KID720905 JYH720905 JOL720905 JEP720905 IUT720905 IKX720905 IBB720905 HRF720905 HHJ720905 GXN720905 GNR720905 GDV720905 FTZ720905 FKD720905 FAH720905 EQL720905 EGP720905 DWT720905 DMX720905 DDB720905 CTF720905 CJJ720905 BZN720905 BPR720905 BFV720905 AVZ720905 AMD720905 ACH720905 SL720905 IP720905 C720905 WVB655369 WLF655369 WBJ655369 VRN655369 VHR655369 UXV655369 UNZ655369 UED655369 TUH655369 TKL655369 TAP655369 SQT655369 SGX655369 RXB655369 RNF655369 RDJ655369 QTN655369 QJR655369 PZV655369 PPZ655369 PGD655369 OWH655369 OML655369 OCP655369 NST655369 NIX655369 MZB655369 MPF655369 MFJ655369 LVN655369 LLR655369 LBV655369 KRZ655369 KID655369 JYH655369 JOL655369 JEP655369 IUT655369 IKX655369 IBB655369 HRF655369 HHJ655369 GXN655369 GNR655369 GDV655369 FTZ655369 FKD655369 FAH655369 EQL655369 EGP655369 DWT655369 DMX655369 DDB655369 CTF655369 CJJ655369 BZN655369 BPR655369 BFV655369 AVZ655369 AMD655369 ACH655369 SL655369 IP655369 C655369 WVB589833 WLF589833 WBJ589833 VRN589833 VHR589833 UXV589833 UNZ589833 UED589833 TUH589833 TKL589833 TAP589833 SQT589833 SGX589833 RXB589833 RNF589833 RDJ589833 QTN589833 QJR589833 PZV589833 PPZ589833 PGD589833 OWH589833 OML589833 OCP589833 NST589833 NIX589833 MZB589833 MPF589833 MFJ589833 LVN589833 LLR589833 LBV589833 KRZ589833 KID589833 JYH589833 JOL589833 JEP589833 IUT589833 IKX589833 IBB589833 HRF589833 HHJ589833 GXN589833 GNR589833 GDV589833 FTZ589833 FKD589833 FAH589833 EQL589833 EGP589833 DWT589833 DMX589833 DDB589833 CTF589833 CJJ589833 BZN589833 BPR589833 BFV589833 AVZ589833 AMD589833 ACH589833 SL589833 IP589833 C589833 WVB524297 WLF524297 WBJ524297 VRN524297 VHR524297 UXV524297 UNZ524297 UED524297 TUH524297 TKL524297 TAP524297 SQT524297 SGX524297 RXB524297 RNF524297 RDJ524297 QTN524297 QJR524297 PZV524297 PPZ524297 PGD524297 OWH524297 OML524297 OCP524297 NST524297 NIX524297 MZB524297 MPF524297 MFJ524297 LVN524297 LLR524297 LBV524297 KRZ524297 KID524297 JYH524297 JOL524297 JEP524297 IUT524297 IKX524297 IBB524297 HRF524297 HHJ524297 GXN524297 GNR524297 GDV524297 FTZ524297 FKD524297 FAH524297 EQL524297 EGP524297 DWT524297 DMX524297 DDB524297 CTF524297 CJJ524297 BZN524297 BPR524297 BFV524297 AVZ524297 AMD524297 ACH524297 SL524297 IP524297 C524297 WVB458761 WLF458761 WBJ458761 VRN458761 VHR458761 UXV458761 UNZ458761 UED458761 TUH458761 TKL458761 TAP458761 SQT458761 SGX458761 RXB458761 RNF458761 RDJ458761 QTN458761 QJR458761 PZV458761 PPZ458761 PGD458761 OWH458761 OML458761 OCP458761 NST458761 NIX458761 MZB458761 MPF458761 MFJ458761 LVN458761 LLR458761 LBV458761 KRZ458761 KID458761 JYH458761 JOL458761 JEP458761 IUT458761 IKX458761 IBB458761 HRF458761 HHJ458761 GXN458761 GNR458761 GDV458761 FTZ458761 FKD458761 FAH458761 EQL458761 EGP458761 DWT458761 DMX458761 DDB458761 CTF458761 CJJ458761 BZN458761 BPR458761 BFV458761 AVZ458761 AMD458761 ACH458761 SL458761 IP458761 C458761 WVB393225 WLF393225 WBJ393225 VRN393225 VHR393225 UXV393225 UNZ393225 UED393225 TUH393225 TKL393225 TAP393225 SQT393225 SGX393225 RXB393225 RNF393225 RDJ393225 QTN393225 QJR393225 PZV393225 PPZ393225 PGD393225 OWH393225 OML393225 OCP393225 NST393225 NIX393225 MZB393225 MPF393225 MFJ393225 LVN393225 LLR393225 LBV393225 KRZ393225 KID393225 JYH393225 JOL393225 JEP393225 IUT393225 IKX393225 IBB393225 HRF393225 HHJ393225 GXN393225 GNR393225 GDV393225 FTZ393225 FKD393225 FAH393225 EQL393225 EGP393225 DWT393225 DMX393225 DDB393225 CTF393225 CJJ393225 BZN393225 BPR393225 BFV393225 AVZ393225 AMD393225 ACH393225 SL393225 IP393225 C393225 WVB327689 WLF327689 WBJ327689 VRN327689 VHR327689 UXV327689 UNZ327689 UED327689 TUH327689 TKL327689 TAP327689 SQT327689 SGX327689 RXB327689 RNF327689 RDJ327689 QTN327689 QJR327689 PZV327689 PPZ327689 PGD327689 OWH327689 OML327689 OCP327689 NST327689 NIX327689 MZB327689 MPF327689 MFJ327689 LVN327689 LLR327689 LBV327689 KRZ327689 KID327689 JYH327689 JOL327689 JEP327689 IUT327689 IKX327689 IBB327689 HRF327689 HHJ327689 GXN327689 GNR327689 GDV327689 FTZ327689 FKD327689 FAH327689 EQL327689 EGP327689 DWT327689 DMX327689 DDB327689 CTF327689 CJJ327689 BZN327689 BPR327689 BFV327689 AVZ327689 AMD327689 ACH327689 SL327689 IP327689 C327689 WVB262153 WLF262153 WBJ262153 VRN262153 VHR262153 UXV262153 UNZ262153 UED262153 TUH262153 TKL262153 TAP262153 SQT262153 SGX262153 RXB262153 RNF262153 RDJ262153 QTN262153 QJR262153 PZV262153 PPZ262153 PGD262153 OWH262153 OML262153 OCP262153 NST262153 NIX262153 MZB262153 MPF262153 MFJ262153 LVN262153 LLR262153 LBV262153 KRZ262153 KID262153 JYH262153 JOL262153 JEP262153 IUT262153 IKX262153 IBB262153 HRF262153 HHJ262153 GXN262153 GNR262153 GDV262153 FTZ262153 FKD262153 FAH262153 EQL262153 EGP262153 DWT262153 DMX262153 DDB262153 CTF262153 CJJ262153 BZN262153 BPR262153 BFV262153 AVZ262153 AMD262153 ACH262153 SL262153 IP262153 C262153 WVB196617 WLF196617 WBJ196617 VRN196617 VHR196617 UXV196617 UNZ196617 UED196617 TUH196617 TKL196617 TAP196617 SQT196617 SGX196617 RXB196617 RNF196617 RDJ196617 QTN196617 QJR196617 PZV196617 PPZ196617 PGD196617 OWH196617 OML196617 OCP196617 NST196617 NIX196617 MZB196617 MPF196617 MFJ196617 LVN196617 LLR196617 LBV196617 KRZ196617 KID196617 JYH196617 JOL196617 JEP196617 IUT196617 IKX196617 IBB196617 HRF196617 HHJ196617 GXN196617 GNR196617 GDV196617 FTZ196617 FKD196617 FAH196617 EQL196617 EGP196617 DWT196617 DMX196617 DDB196617 CTF196617 CJJ196617 BZN196617 BPR196617 BFV196617 AVZ196617 AMD196617 ACH196617 SL196617 IP196617 C196617 WVB131081 WLF131081 WBJ131081 VRN131081 VHR131081 UXV131081 UNZ131081 UED131081 TUH131081 TKL131081 TAP131081 SQT131081 SGX131081 RXB131081 RNF131081 RDJ131081 QTN131081 QJR131081 PZV131081 PPZ131081 PGD131081 OWH131081 OML131081 OCP131081 NST131081 NIX131081 MZB131081 MPF131081 MFJ131081 LVN131081 LLR131081 LBV131081 KRZ131081 KID131081 JYH131081 JOL131081 JEP131081 IUT131081 IKX131081 IBB131081 HRF131081 HHJ131081 GXN131081 GNR131081 GDV131081 FTZ131081 FKD131081 FAH131081 EQL131081 EGP131081 DWT131081 DMX131081 DDB131081 CTF131081 CJJ131081 BZN131081 BPR131081 BFV131081 AVZ131081 AMD131081 ACH131081 SL131081 IP131081 C131081 WVB65545 WLF65545 WBJ65545 VRN65545 VHR65545 UXV65545 UNZ65545 UED65545 TUH65545 TKL65545 TAP65545 SQT65545 SGX65545 RXB65545 RNF65545 RDJ65545 QTN65545 QJR65545 PZV65545 PPZ65545 PGD65545 OWH65545 OML65545 OCP65545 NST65545 NIX65545 MZB65545 MPF65545 MFJ65545 LVN65545 LLR65545 LBV65545 KRZ65545 KID65545 JYH65545 JOL65545 JEP65545 IUT65545 IKX65545 IBB65545 HRF65545 HHJ65545 GXN65545 GNR65545 GDV65545 FTZ65545 FKD65545 FAH65545 EQL65545 EGP65545 DWT65545 DMX65545 DDB65545 CTF65545 CJJ65545 BZN65545 BPR65545 BFV65545 AVZ65545 AMD65545 ACH65545 SL65545 IP65545 C65545 WVB12 WLF12 WBJ12 VRN12 VHR12 UXV12 UNZ12 UED12 TUH12 TKL12 TAP12 SQT12 SGX12 RXB12 RNF12 RDJ12 QTN12 QJR12 PZV12 PPZ12 PGD12 OWH12 OML12 OCP12 NST12 NIX12 MZB12 MPF12 MFJ12 LVN12 LLR12 LBV12 KRZ12 KID12 JYH12 JOL12 JEP12 IUT12 IKX12 IBB12 HRF12 HHJ12 GXN12 GNR12 GDV12 FTZ12 FKD12 FAH12 EQL12 EGP12 DWT12 DMX12 DDB12 CTF12 CJJ12 BZN12 BPR12 BFV12 AVZ12 AMD12 ACH12 SL12 IU16 WVG983055 WLK983055 WBO983055 VRS983055 VHW983055 UYA983055 UOE983055 UEI983055 TUM983055 TKQ983055 TAU983055 SQY983055 SHC983055 RXG983055 RNK983055 RDO983055 QTS983055 QJW983055 QAA983055 PQE983055 PGI983055 OWM983055 OMQ983055 OCU983055 NSY983055 NJC983055 MZG983055 MPK983055 MFO983055 LVS983055 LLW983055 LCA983055 KSE983055 KII983055 JYM983055 JOQ983055 JEU983055 IUY983055 ILC983055 IBG983055 HRK983055 HHO983055 GXS983055 GNW983055 GEA983055 FUE983055 FKI983055 FAM983055 EQQ983055 EGU983055 DWY983055 DNC983055 DDG983055 CTK983055 CJO983055 BZS983055 BPW983055 BGA983055 AWE983055 AMI983055 ACM983055 SQ983055 IU983055 H983055 WVG917519 WLK917519 WBO917519 VRS917519 VHW917519 UYA917519 UOE917519 UEI917519 TUM917519 TKQ917519 TAU917519 SQY917519 SHC917519 RXG917519 RNK917519 RDO917519 QTS917519 QJW917519 QAA917519 PQE917519 PGI917519 OWM917519 OMQ917519 OCU917519 NSY917519 NJC917519 MZG917519 MPK917519 MFO917519 LVS917519 LLW917519 LCA917519 KSE917519 KII917519 JYM917519 JOQ917519 JEU917519 IUY917519 ILC917519 IBG917519 HRK917519 HHO917519 GXS917519 GNW917519 GEA917519 FUE917519 FKI917519 FAM917519 EQQ917519 EGU917519 DWY917519 DNC917519 DDG917519 CTK917519 CJO917519 BZS917519 BPW917519 BGA917519 AWE917519 AMI917519 ACM917519 SQ917519 IU917519 H917519 WVG851983 WLK851983 WBO851983 VRS851983 VHW851983 UYA851983 UOE851983 UEI851983 TUM851983 TKQ851983 TAU851983 SQY851983 SHC851983 RXG851983 RNK851983 RDO851983 QTS851983 QJW851983 QAA851983 PQE851983 PGI851983 OWM851983 OMQ851983 OCU851983 NSY851983 NJC851983 MZG851983 MPK851983 MFO851983 LVS851983 LLW851983 LCA851983 KSE851983 KII851983 JYM851983 JOQ851983 JEU851983 IUY851983 ILC851983 IBG851983 HRK851983 HHO851983 GXS851983 GNW851983 GEA851983 FUE851983 FKI851983 FAM851983 EQQ851983 EGU851983 DWY851983 DNC851983 DDG851983 CTK851983 CJO851983 BZS851983 BPW851983 BGA851983 AWE851983 AMI851983 ACM851983 SQ851983 IU851983 H851983 WVG786447 WLK786447 WBO786447 VRS786447 VHW786447 UYA786447 UOE786447 UEI786447 TUM786447 TKQ786447 TAU786447 SQY786447 SHC786447 RXG786447 RNK786447 RDO786447 QTS786447 QJW786447 QAA786447 PQE786447 PGI786447 OWM786447 OMQ786447 OCU786447 NSY786447 NJC786447 MZG786447 MPK786447 MFO786447 LVS786447 LLW786447 LCA786447 KSE786447 KII786447 JYM786447 JOQ786447 JEU786447 IUY786447 ILC786447 IBG786447 HRK786447 HHO786447 GXS786447 GNW786447 GEA786447 FUE786447 FKI786447 FAM786447 EQQ786447 EGU786447 DWY786447 DNC786447 DDG786447 CTK786447 CJO786447 BZS786447 BPW786447 BGA786447 AWE786447 AMI786447 ACM786447 SQ786447 IU786447 H786447 WVG720911 WLK720911 WBO720911 VRS720911 VHW720911 UYA720911 UOE720911 UEI720911 TUM720911 TKQ720911 TAU720911 SQY720911 SHC720911 RXG720911 RNK720911 RDO720911 QTS720911 QJW720911 QAA720911 PQE720911 PGI720911 OWM720911 OMQ720911 OCU720911 NSY720911 NJC720911 MZG720911 MPK720911 MFO720911 LVS720911 LLW720911 LCA720911 KSE720911 KII720911 JYM720911 JOQ720911 JEU720911 IUY720911 ILC720911 IBG720911 HRK720911 HHO720911 GXS720911 GNW720911 GEA720911 FUE720911 FKI720911 FAM720911 EQQ720911 EGU720911 DWY720911 DNC720911 DDG720911 CTK720911 CJO720911 BZS720911 BPW720911 BGA720911 AWE720911 AMI720911 ACM720911 SQ720911 IU720911 H720911 WVG655375 WLK655375 WBO655375 VRS655375 VHW655375 UYA655375 UOE655375 UEI655375 TUM655375 TKQ655375 TAU655375 SQY655375 SHC655375 RXG655375 RNK655375 RDO655375 QTS655375 QJW655375 QAA655375 PQE655375 PGI655375 OWM655375 OMQ655375 OCU655375 NSY655375 NJC655375 MZG655375 MPK655375 MFO655375 LVS655375 LLW655375 LCA655375 KSE655375 KII655375 JYM655375 JOQ655375 JEU655375 IUY655375 ILC655375 IBG655375 HRK655375 HHO655375 GXS655375 GNW655375 GEA655375 FUE655375 FKI655375 FAM655375 EQQ655375 EGU655375 DWY655375 DNC655375 DDG655375 CTK655375 CJO655375 BZS655375 BPW655375 BGA655375 AWE655375 AMI655375 ACM655375 SQ655375 IU655375 H655375 WVG589839 WLK589839 WBO589839 VRS589839 VHW589839 UYA589839 UOE589839 UEI589839 TUM589839 TKQ589839 TAU589839 SQY589839 SHC589839 RXG589839 RNK589839 RDO589839 QTS589839 QJW589839 QAA589839 PQE589839 PGI589839 OWM589839 OMQ589839 OCU589839 NSY589839 NJC589839 MZG589839 MPK589839 MFO589839 LVS589839 LLW589839 LCA589839 KSE589839 KII589839 JYM589839 JOQ589839 JEU589839 IUY589839 ILC589839 IBG589839 HRK589839 HHO589839 GXS589839 GNW589839 GEA589839 FUE589839 FKI589839 FAM589839 EQQ589839 EGU589839 DWY589839 DNC589839 DDG589839 CTK589839 CJO589839 BZS589839 BPW589839 BGA589839 AWE589839 AMI589839 ACM589839 SQ589839 IU589839 H589839 WVG524303 WLK524303 WBO524303 VRS524303 VHW524303 UYA524303 UOE524303 UEI524303 TUM524303 TKQ524303 TAU524303 SQY524303 SHC524303 RXG524303 RNK524303 RDO524303 QTS524303 QJW524303 QAA524303 PQE524303 PGI524303 OWM524303 OMQ524303 OCU524303 NSY524303 NJC524303 MZG524303 MPK524303 MFO524303 LVS524303 LLW524303 LCA524303 KSE524303 KII524303 JYM524303 JOQ524303 JEU524303 IUY524303 ILC524303 IBG524303 HRK524303 HHO524303 GXS524303 GNW524303 GEA524303 FUE524303 FKI524303 FAM524303 EQQ524303 EGU524303 DWY524303 DNC524303 DDG524303 CTK524303 CJO524303 BZS524303 BPW524303 BGA524303 AWE524303 AMI524303 ACM524303 SQ524303 IU524303 H524303 WVG458767 WLK458767 WBO458767 VRS458767 VHW458767 UYA458767 UOE458767 UEI458767 TUM458767 TKQ458767 TAU458767 SQY458767 SHC458767 RXG458767 RNK458767 RDO458767 QTS458767 QJW458767 QAA458767 PQE458767 PGI458767 OWM458767 OMQ458767 OCU458767 NSY458767 NJC458767 MZG458767 MPK458767 MFO458767 LVS458767 LLW458767 LCA458767 KSE458767 KII458767 JYM458767 JOQ458767 JEU458767 IUY458767 ILC458767 IBG458767 HRK458767 HHO458767 GXS458767 GNW458767 GEA458767 FUE458767 FKI458767 FAM458767 EQQ458767 EGU458767 DWY458767 DNC458767 DDG458767 CTK458767 CJO458767 BZS458767 BPW458767 BGA458767 AWE458767 AMI458767 ACM458767 SQ458767 IU458767 H458767 WVG393231 WLK393231 WBO393231 VRS393231 VHW393231 UYA393231 UOE393231 UEI393231 TUM393231 TKQ393231 TAU393231 SQY393231 SHC393231 RXG393231 RNK393231 RDO393231 QTS393231 QJW393231 QAA393231 PQE393231 PGI393231 OWM393231 OMQ393231 OCU393231 NSY393231 NJC393231 MZG393231 MPK393231 MFO393231 LVS393231 LLW393231 LCA393231 KSE393231 KII393231 JYM393231 JOQ393231 JEU393231 IUY393231 ILC393231 IBG393231 HRK393231 HHO393231 GXS393231 GNW393231 GEA393231 FUE393231 FKI393231 FAM393231 EQQ393231 EGU393231 DWY393231 DNC393231 DDG393231 CTK393231 CJO393231 BZS393231 BPW393231 BGA393231 AWE393231 AMI393231 ACM393231 SQ393231 IU393231 H393231 WVG327695 WLK327695 WBO327695 VRS327695 VHW327695 UYA327695 UOE327695 UEI327695 TUM327695 TKQ327695 TAU327695 SQY327695 SHC327695 RXG327695 RNK327695 RDO327695 QTS327695 QJW327695 QAA327695 PQE327695 PGI327695 OWM327695 OMQ327695 OCU327695 NSY327695 NJC327695 MZG327695 MPK327695 MFO327695 LVS327695 LLW327695 LCA327695 KSE327695 KII327695 JYM327695 JOQ327695 JEU327695 IUY327695 ILC327695 IBG327695 HRK327695 HHO327695 GXS327695 GNW327695 GEA327695 FUE327695 FKI327695 FAM327695 EQQ327695 EGU327695 DWY327695 DNC327695 DDG327695 CTK327695 CJO327695 BZS327695 BPW327695 BGA327695 AWE327695 AMI327695 ACM327695 SQ327695 IU327695 H327695 WVG262159 WLK262159 WBO262159 VRS262159 VHW262159 UYA262159 UOE262159 UEI262159 TUM262159 TKQ262159 TAU262159 SQY262159 SHC262159 RXG262159 RNK262159 RDO262159 QTS262159 QJW262159 QAA262159 PQE262159 PGI262159 OWM262159 OMQ262159 OCU262159 NSY262159 NJC262159 MZG262159 MPK262159 MFO262159 LVS262159 LLW262159 LCA262159 KSE262159 KII262159 JYM262159 JOQ262159 JEU262159 IUY262159 ILC262159 IBG262159 HRK262159 HHO262159 GXS262159 GNW262159 GEA262159 FUE262159 FKI262159 FAM262159 EQQ262159 EGU262159 DWY262159 DNC262159 DDG262159 CTK262159 CJO262159 BZS262159 BPW262159 BGA262159 AWE262159 AMI262159 ACM262159 SQ262159 IU262159 H262159 WVG196623 WLK196623 WBO196623 VRS196623 VHW196623 UYA196623 UOE196623 UEI196623 TUM196623 TKQ196623 TAU196623 SQY196623 SHC196623 RXG196623 RNK196623 RDO196623 QTS196623 QJW196623 QAA196623 PQE196623 PGI196623 OWM196623 OMQ196623 OCU196623 NSY196623 NJC196623 MZG196623 MPK196623 MFO196623 LVS196623 LLW196623 LCA196623 KSE196623 KII196623 JYM196623 JOQ196623 JEU196623 IUY196623 ILC196623 IBG196623 HRK196623 HHO196623 GXS196623 GNW196623 GEA196623 FUE196623 FKI196623 FAM196623 EQQ196623 EGU196623 DWY196623 DNC196623 DDG196623 CTK196623 CJO196623 BZS196623 BPW196623 BGA196623 AWE196623 AMI196623 ACM196623 SQ196623 IU196623 H196623 WVG131087 WLK131087 WBO131087 VRS131087 VHW131087 UYA131087 UOE131087 UEI131087 TUM131087 TKQ131087 TAU131087 SQY131087 SHC131087 RXG131087 RNK131087 RDO131087 QTS131087 QJW131087 QAA131087 PQE131087 PGI131087 OWM131087 OMQ131087 OCU131087 NSY131087 NJC131087 MZG131087 MPK131087 MFO131087 LVS131087 LLW131087 LCA131087 KSE131087 KII131087 JYM131087 JOQ131087 JEU131087 IUY131087 ILC131087 IBG131087 HRK131087 HHO131087 GXS131087 GNW131087 GEA131087 FUE131087 FKI131087 FAM131087 EQQ131087 EGU131087 DWY131087 DNC131087 DDG131087 CTK131087 CJO131087 BZS131087 BPW131087 BGA131087 AWE131087 AMI131087 ACM131087 SQ131087 IU131087 H131087 WVG65551 WLK65551 WBO65551 VRS65551 VHW65551 UYA65551 UOE65551 UEI65551 TUM65551 TKQ65551 TAU65551 SQY65551 SHC65551 RXG65551 RNK65551 RDO65551 QTS65551 QJW65551 QAA65551 PQE65551 PGI65551 OWM65551 OMQ65551 OCU65551 NSY65551 NJC65551 MZG65551 MPK65551 MFO65551 LVS65551 LLW65551 LCA65551 KSE65551 KII65551 JYM65551 JOQ65551 JEU65551 IUY65551 ILC65551 IBG65551 HRK65551 HHO65551 GXS65551 GNW65551 GEA65551 FUE65551 FKI65551 FAM65551 EQQ65551 EGU65551 DWY65551 DNC65551 DDG65551 CTK65551 CJO65551 BZS65551 BPW65551 BGA65551 AWE65551 AMI65551 ACM65551 SQ65551 IU65551 H65551 WVG16 WLK16 WBO16 VRS16 VHW16 UYA16 UOE16 UEI16 TUM16 TKQ16 TAU16 SQY16 SHC16 RXG16 RNK16 RDO16 QTS16 QJW16 QAA16 PQE16 PGI16 OWM16 OMQ16 OCU16 NSY16 NJC16 MZG16 MPK16 MFO16 LVS16 LLW16 LCA16 KSE16 KII16 JYM16 JOQ16 JEU16 IUY16 ILC16 IBG16 HRK16 HHO16 GXS16 GNW16 GEA16 FUE16 FKI16 FAM16 EQQ16 EGU16 DWY16 DNC16 DDG16 CTK16 CJO16 BZS16 BPW16 BGA16 AWE16 AMI16 ACM16 SQ16" xr:uid="{B7A6BB15-7FB7-44C3-8A80-A76554091A84}">
      <formula1>#REF!</formula1>
    </dataValidation>
  </dataValidations>
  <printOptions horizontalCentered="1"/>
  <pageMargins left="0.74803149606299213" right="0.74803149606299213" top="0.59055118110236227" bottom="0.98425196850393704" header="0.39370078740157483" footer="0.51181102362204722"/>
  <pageSetup paperSize="9" orientation="portrait" r:id="rId1"/>
  <headerFooter alignWithMargins="0"/>
  <drawing r:id="rId2"/>
  <legacyDrawing r:id="rId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97FAB050-43CC-4C32-A64A-5CDACB02DBC3}">
          <x14:formula1>
            <xm:f>AI!$A:$A</xm:f>
          </x14:formula1>
          <xm:sqref>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8D53F-5998-4441-89AF-2AF53F8C5C06}">
  <dimension ref="A1:AI1"/>
  <sheetViews>
    <sheetView topLeftCell="J1" zoomScale="69" zoomScaleNormal="69" workbookViewId="0">
      <selection activeCell="AH3" sqref="AH3"/>
    </sheetView>
  </sheetViews>
  <sheetFormatPr defaultRowHeight="14.4" x14ac:dyDescent="0.3"/>
  <sheetData>
    <row r="1" spans="1:35" x14ac:dyDescent="0.3">
      <c r="A1">
        <v>2</v>
      </c>
      <c r="B1" t="s">
        <v>42</v>
      </c>
      <c r="C1" t="s">
        <v>43</v>
      </c>
      <c r="D1" t="s">
        <v>44</v>
      </c>
      <c r="E1" t="s">
        <v>45</v>
      </c>
      <c r="F1" t="s">
        <v>46</v>
      </c>
      <c r="G1" t="s">
        <v>47</v>
      </c>
      <c r="H1" t="s">
        <v>46</v>
      </c>
      <c r="I1" t="s">
        <v>48</v>
      </c>
      <c r="J1" t="s">
        <v>49</v>
      </c>
      <c r="K1" t="s">
        <v>46</v>
      </c>
      <c r="L1" t="s">
        <v>50</v>
      </c>
      <c r="M1" t="s">
        <v>51</v>
      </c>
      <c r="N1" t="s">
        <v>52</v>
      </c>
      <c r="O1" t="s">
        <v>53</v>
      </c>
      <c r="P1" t="s">
        <v>54</v>
      </c>
      <c r="Q1" t="s">
        <v>55</v>
      </c>
      <c r="R1" t="s">
        <v>56</v>
      </c>
      <c r="S1" t="s">
        <v>57</v>
      </c>
      <c r="T1" t="s">
        <v>54</v>
      </c>
      <c r="U1" t="s">
        <v>58</v>
      </c>
      <c r="V1" t="s">
        <v>59</v>
      </c>
      <c r="W1" t="s">
        <v>54</v>
      </c>
      <c r="X1" t="s">
        <v>60</v>
      </c>
      <c r="Y1">
        <v>24.75</v>
      </c>
      <c r="Z1">
        <v>157.042</v>
      </c>
      <c r="AA1">
        <v>5</v>
      </c>
      <c r="AB1" t="s">
        <v>61</v>
      </c>
      <c r="AC1">
        <v>5</v>
      </c>
      <c r="AD1">
        <v>24.75</v>
      </c>
      <c r="AE1">
        <v>157.042</v>
      </c>
      <c r="AF1">
        <v>5</v>
      </c>
      <c r="AG1" t="s">
        <v>61</v>
      </c>
      <c r="AH1">
        <v>6</v>
      </c>
      <c r="AI1"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Isolated</vt:lpstr>
      <vt:lpstr>AI</vt:lpstr>
      <vt:lpstr>Isolated!Print_Area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MOHAMAD OBADA</dc:creator>
  <cp:lastModifiedBy>محمود محمد</cp:lastModifiedBy>
  <dcterms:created xsi:type="dcterms:W3CDTF">2019-08-18T07:49:17Z</dcterms:created>
  <dcterms:modified xsi:type="dcterms:W3CDTF">2023-05-19T09:10:10Z</dcterms:modified>
</cp:coreProperties>
</file>